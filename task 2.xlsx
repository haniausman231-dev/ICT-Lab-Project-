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6930" activeTab="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8" r:id="rId7"/>
    <sheet name="Sheet8" sheetId="10" r:id="rId8"/>
    <sheet name="Sheet9" sheetId="1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5" i="10" l="1"/>
  <c r="L129" i="10"/>
  <c r="L191" i="10"/>
  <c r="L244" i="10"/>
  <c r="L288" i="10"/>
  <c r="L341" i="10"/>
  <c r="L393" i="10"/>
  <c r="L448" i="10"/>
  <c r="L512" i="10"/>
  <c r="L576" i="10"/>
  <c r="L640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2" i="10"/>
  <c r="J3" i="10"/>
  <c r="L3" i="10" s="1"/>
  <c r="J4" i="10"/>
  <c r="L4" i="10" s="1"/>
  <c r="J5" i="10"/>
  <c r="L5" i="10" s="1"/>
  <c r="J6" i="10"/>
  <c r="L6" i="10" s="1"/>
  <c r="J7" i="10"/>
  <c r="L7" i="10" s="1"/>
  <c r="J8" i="10"/>
  <c r="L8" i="10" s="1"/>
  <c r="J9" i="10"/>
  <c r="L9" i="10" s="1"/>
  <c r="J10" i="10"/>
  <c r="L10" i="10" s="1"/>
  <c r="J11" i="10"/>
  <c r="L11" i="10" s="1"/>
  <c r="J12" i="10"/>
  <c r="L12" i="10" s="1"/>
  <c r="J13" i="10"/>
  <c r="L13" i="10" s="1"/>
  <c r="J14" i="10"/>
  <c r="L14" i="10" s="1"/>
  <c r="J15" i="10"/>
  <c r="L15" i="10" s="1"/>
  <c r="J16" i="10"/>
  <c r="L16" i="10" s="1"/>
  <c r="J17" i="10"/>
  <c r="L17" i="10" s="1"/>
  <c r="J18" i="10"/>
  <c r="L18" i="10" s="1"/>
  <c r="J19" i="10"/>
  <c r="L19" i="10" s="1"/>
  <c r="J20" i="10"/>
  <c r="L20" i="10" s="1"/>
  <c r="J21" i="10"/>
  <c r="L21" i="10" s="1"/>
  <c r="J22" i="10"/>
  <c r="L22" i="10" s="1"/>
  <c r="J23" i="10"/>
  <c r="L23" i="10" s="1"/>
  <c r="J24" i="10"/>
  <c r="L24" i="10" s="1"/>
  <c r="J25" i="10"/>
  <c r="L25" i="10" s="1"/>
  <c r="J26" i="10"/>
  <c r="L26" i="10" s="1"/>
  <c r="J27" i="10"/>
  <c r="L27" i="10" s="1"/>
  <c r="J28" i="10"/>
  <c r="L28" i="10" s="1"/>
  <c r="J29" i="10"/>
  <c r="L29" i="10" s="1"/>
  <c r="J30" i="10"/>
  <c r="L30" i="10" s="1"/>
  <c r="J31" i="10"/>
  <c r="L31" i="10" s="1"/>
  <c r="J32" i="10"/>
  <c r="L32" i="10" s="1"/>
  <c r="J33" i="10"/>
  <c r="L33" i="10" s="1"/>
  <c r="J34" i="10"/>
  <c r="L34" i="10" s="1"/>
  <c r="J35" i="10"/>
  <c r="L35" i="10" s="1"/>
  <c r="J36" i="10"/>
  <c r="L36" i="10" s="1"/>
  <c r="J37" i="10"/>
  <c r="L37" i="10" s="1"/>
  <c r="J38" i="10"/>
  <c r="L38" i="10" s="1"/>
  <c r="J39" i="10"/>
  <c r="L39" i="10" s="1"/>
  <c r="J40" i="10"/>
  <c r="L40" i="10" s="1"/>
  <c r="J41" i="10"/>
  <c r="L41" i="10" s="1"/>
  <c r="J42" i="10"/>
  <c r="L42" i="10" s="1"/>
  <c r="J43" i="10"/>
  <c r="L43" i="10" s="1"/>
  <c r="J44" i="10"/>
  <c r="L44" i="10" s="1"/>
  <c r="J45" i="10"/>
  <c r="L45" i="10" s="1"/>
  <c r="J46" i="10"/>
  <c r="L46" i="10" s="1"/>
  <c r="J47" i="10"/>
  <c r="L47" i="10" s="1"/>
  <c r="J48" i="10"/>
  <c r="L48" i="10" s="1"/>
  <c r="J49" i="10"/>
  <c r="L49" i="10" s="1"/>
  <c r="J50" i="10"/>
  <c r="L50" i="10" s="1"/>
  <c r="J51" i="10"/>
  <c r="L51" i="10" s="1"/>
  <c r="J52" i="10"/>
  <c r="L52" i="10" s="1"/>
  <c r="J53" i="10"/>
  <c r="L53" i="10" s="1"/>
  <c r="J54" i="10"/>
  <c r="L54" i="10" s="1"/>
  <c r="J55" i="10"/>
  <c r="L55" i="10" s="1"/>
  <c r="J56" i="10"/>
  <c r="L56" i="10" s="1"/>
  <c r="J57" i="10"/>
  <c r="L57" i="10" s="1"/>
  <c r="J58" i="10"/>
  <c r="L58" i="10" s="1"/>
  <c r="J59" i="10"/>
  <c r="L59" i="10" s="1"/>
  <c r="J60" i="10"/>
  <c r="L60" i="10" s="1"/>
  <c r="J61" i="10"/>
  <c r="L61" i="10" s="1"/>
  <c r="J62" i="10"/>
  <c r="L62" i="10" s="1"/>
  <c r="J63" i="10"/>
  <c r="L63" i="10" s="1"/>
  <c r="J64" i="10"/>
  <c r="L64" i="10" s="1"/>
  <c r="J65" i="10"/>
  <c r="J66" i="10"/>
  <c r="L66" i="10" s="1"/>
  <c r="J67" i="10"/>
  <c r="L67" i="10" s="1"/>
  <c r="J68" i="10"/>
  <c r="L68" i="10" s="1"/>
  <c r="J69" i="10"/>
  <c r="L69" i="10" s="1"/>
  <c r="J70" i="10"/>
  <c r="L70" i="10" s="1"/>
  <c r="J71" i="10"/>
  <c r="L71" i="10" s="1"/>
  <c r="J72" i="10"/>
  <c r="L72" i="10" s="1"/>
  <c r="J73" i="10"/>
  <c r="L73" i="10" s="1"/>
  <c r="J74" i="10"/>
  <c r="L74" i="10" s="1"/>
  <c r="J75" i="10"/>
  <c r="L75" i="10" s="1"/>
  <c r="J76" i="10"/>
  <c r="L76" i="10" s="1"/>
  <c r="J77" i="10"/>
  <c r="L77" i="10" s="1"/>
  <c r="J78" i="10"/>
  <c r="L78" i="10" s="1"/>
  <c r="J79" i="10"/>
  <c r="L79" i="10" s="1"/>
  <c r="J80" i="10"/>
  <c r="L80" i="10" s="1"/>
  <c r="J81" i="10"/>
  <c r="L81" i="10" s="1"/>
  <c r="J82" i="10"/>
  <c r="L82" i="10" s="1"/>
  <c r="J83" i="10"/>
  <c r="L83" i="10" s="1"/>
  <c r="J84" i="10"/>
  <c r="L84" i="10" s="1"/>
  <c r="J85" i="10"/>
  <c r="L85" i="10" s="1"/>
  <c r="J86" i="10"/>
  <c r="L86" i="10" s="1"/>
  <c r="J87" i="10"/>
  <c r="L87" i="10" s="1"/>
  <c r="J88" i="10"/>
  <c r="L88" i="10" s="1"/>
  <c r="J89" i="10"/>
  <c r="L89" i="10" s="1"/>
  <c r="J90" i="10"/>
  <c r="L90" i="10" s="1"/>
  <c r="J91" i="10"/>
  <c r="L91" i="10" s="1"/>
  <c r="J92" i="10"/>
  <c r="L92" i="10" s="1"/>
  <c r="J93" i="10"/>
  <c r="L93" i="10" s="1"/>
  <c r="J94" i="10"/>
  <c r="L94" i="10" s="1"/>
  <c r="J95" i="10"/>
  <c r="L95" i="10" s="1"/>
  <c r="J96" i="10"/>
  <c r="L96" i="10" s="1"/>
  <c r="J97" i="10"/>
  <c r="L97" i="10" s="1"/>
  <c r="J98" i="10"/>
  <c r="L98" i="10" s="1"/>
  <c r="J99" i="10"/>
  <c r="L99" i="10" s="1"/>
  <c r="J100" i="10"/>
  <c r="L100" i="10" s="1"/>
  <c r="J101" i="10"/>
  <c r="L101" i="10" s="1"/>
  <c r="J102" i="10"/>
  <c r="L102" i="10" s="1"/>
  <c r="J103" i="10"/>
  <c r="L103" i="10" s="1"/>
  <c r="J104" i="10"/>
  <c r="L104" i="10" s="1"/>
  <c r="J105" i="10"/>
  <c r="L105" i="10" s="1"/>
  <c r="J106" i="10"/>
  <c r="L106" i="10" s="1"/>
  <c r="J107" i="10"/>
  <c r="L107" i="10" s="1"/>
  <c r="J108" i="10"/>
  <c r="L108" i="10" s="1"/>
  <c r="J109" i="10"/>
  <c r="L109" i="10" s="1"/>
  <c r="J110" i="10"/>
  <c r="L110" i="10" s="1"/>
  <c r="J111" i="10"/>
  <c r="L111" i="10" s="1"/>
  <c r="J112" i="10"/>
  <c r="L112" i="10" s="1"/>
  <c r="J113" i="10"/>
  <c r="L113" i="10" s="1"/>
  <c r="J114" i="10"/>
  <c r="L114" i="10" s="1"/>
  <c r="J115" i="10"/>
  <c r="L115" i="10" s="1"/>
  <c r="J116" i="10"/>
  <c r="L116" i="10" s="1"/>
  <c r="J117" i="10"/>
  <c r="L117" i="10" s="1"/>
  <c r="J118" i="10"/>
  <c r="L118" i="10" s="1"/>
  <c r="J119" i="10"/>
  <c r="L119" i="10" s="1"/>
  <c r="J120" i="10"/>
  <c r="L120" i="10" s="1"/>
  <c r="J121" i="10"/>
  <c r="L121" i="10" s="1"/>
  <c r="J122" i="10"/>
  <c r="L122" i="10" s="1"/>
  <c r="J123" i="10"/>
  <c r="L123" i="10" s="1"/>
  <c r="J124" i="10"/>
  <c r="L124" i="10" s="1"/>
  <c r="J125" i="10"/>
  <c r="L125" i="10" s="1"/>
  <c r="J126" i="10"/>
  <c r="L126" i="10" s="1"/>
  <c r="J127" i="10"/>
  <c r="L127" i="10" s="1"/>
  <c r="J128" i="10"/>
  <c r="L128" i="10" s="1"/>
  <c r="J129" i="10"/>
  <c r="J130" i="10"/>
  <c r="L130" i="10" s="1"/>
  <c r="J131" i="10"/>
  <c r="L131" i="10" s="1"/>
  <c r="J132" i="10"/>
  <c r="L132" i="10" s="1"/>
  <c r="J133" i="10"/>
  <c r="L133" i="10" s="1"/>
  <c r="J134" i="10"/>
  <c r="L134" i="10" s="1"/>
  <c r="J135" i="10"/>
  <c r="L135" i="10" s="1"/>
  <c r="J136" i="10"/>
  <c r="L136" i="10" s="1"/>
  <c r="J137" i="10"/>
  <c r="L137" i="10" s="1"/>
  <c r="J138" i="10"/>
  <c r="L138" i="10" s="1"/>
  <c r="J139" i="10"/>
  <c r="L139" i="10" s="1"/>
  <c r="J140" i="10"/>
  <c r="L140" i="10" s="1"/>
  <c r="J141" i="10"/>
  <c r="L141" i="10" s="1"/>
  <c r="J142" i="10"/>
  <c r="L142" i="10" s="1"/>
  <c r="J143" i="10"/>
  <c r="L143" i="10" s="1"/>
  <c r="J144" i="10"/>
  <c r="L144" i="10" s="1"/>
  <c r="J145" i="10"/>
  <c r="L145" i="10" s="1"/>
  <c r="J146" i="10"/>
  <c r="L146" i="10" s="1"/>
  <c r="J147" i="10"/>
  <c r="L147" i="10" s="1"/>
  <c r="J148" i="10"/>
  <c r="L148" i="10" s="1"/>
  <c r="J149" i="10"/>
  <c r="L149" i="10" s="1"/>
  <c r="J150" i="10"/>
  <c r="L150" i="10" s="1"/>
  <c r="J151" i="10"/>
  <c r="L151" i="10" s="1"/>
  <c r="J152" i="10"/>
  <c r="L152" i="10" s="1"/>
  <c r="J153" i="10"/>
  <c r="L153" i="10" s="1"/>
  <c r="J154" i="10"/>
  <c r="L154" i="10" s="1"/>
  <c r="J155" i="10"/>
  <c r="L155" i="10" s="1"/>
  <c r="J156" i="10"/>
  <c r="L156" i="10" s="1"/>
  <c r="J157" i="10"/>
  <c r="L157" i="10" s="1"/>
  <c r="J158" i="10"/>
  <c r="L158" i="10" s="1"/>
  <c r="J159" i="10"/>
  <c r="L159" i="10" s="1"/>
  <c r="J160" i="10"/>
  <c r="L160" i="10" s="1"/>
  <c r="J161" i="10"/>
  <c r="L161" i="10" s="1"/>
  <c r="J162" i="10"/>
  <c r="L162" i="10" s="1"/>
  <c r="J163" i="10"/>
  <c r="L163" i="10" s="1"/>
  <c r="J164" i="10"/>
  <c r="L164" i="10" s="1"/>
  <c r="J165" i="10"/>
  <c r="L165" i="10" s="1"/>
  <c r="J166" i="10"/>
  <c r="L166" i="10" s="1"/>
  <c r="J167" i="10"/>
  <c r="L167" i="10" s="1"/>
  <c r="J168" i="10"/>
  <c r="L168" i="10" s="1"/>
  <c r="J169" i="10"/>
  <c r="L169" i="10" s="1"/>
  <c r="J170" i="10"/>
  <c r="L170" i="10" s="1"/>
  <c r="J171" i="10"/>
  <c r="L171" i="10" s="1"/>
  <c r="J172" i="10"/>
  <c r="L172" i="10" s="1"/>
  <c r="J173" i="10"/>
  <c r="L173" i="10" s="1"/>
  <c r="J174" i="10"/>
  <c r="L174" i="10" s="1"/>
  <c r="J175" i="10"/>
  <c r="L175" i="10" s="1"/>
  <c r="J176" i="10"/>
  <c r="L176" i="10" s="1"/>
  <c r="J177" i="10"/>
  <c r="L177" i="10" s="1"/>
  <c r="J178" i="10"/>
  <c r="L178" i="10" s="1"/>
  <c r="J179" i="10"/>
  <c r="L179" i="10" s="1"/>
  <c r="J180" i="10"/>
  <c r="L180" i="10" s="1"/>
  <c r="J181" i="10"/>
  <c r="L181" i="10" s="1"/>
  <c r="J182" i="10"/>
  <c r="L182" i="10" s="1"/>
  <c r="J183" i="10"/>
  <c r="L183" i="10" s="1"/>
  <c r="J184" i="10"/>
  <c r="L184" i="10" s="1"/>
  <c r="J185" i="10"/>
  <c r="L185" i="10" s="1"/>
  <c r="J186" i="10"/>
  <c r="L186" i="10" s="1"/>
  <c r="J187" i="10"/>
  <c r="L187" i="10" s="1"/>
  <c r="J188" i="10"/>
  <c r="L188" i="10" s="1"/>
  <c r="J189" i="10"/>
  <c r="L189" i="10" s="1"/>
  <c r="J190" i="10"/>
  <c r="L190" i="10" s="1"/>
  <c r="J191" i="10"/>
  <c r="J192" i="10"/>
  <c r="L192" i="10" s="1"/>
  <c r="J193" i="10"/>
  <c r="L193" i="10" s="1"/>
  <c r="J194" i="10"/>
  <c r="L194" i="10" s="1"/>
  <c r="J195" i="10"/>
  <c r="L195" i="10" s="1"/>
  <c r="J196" i="10"/>
  <c r="L196" i="10" s="1"/>
  <c r="J197" i="10"/>
  <c r="L197" i="10" s="1"/>
  <c r="J198" i="10"/>
  <c r="L198" i="10" s="1"/>
  <c r="J199" i="10"/>
  <c r="L199" i="10" s="1"/>
  <c r="J200" i="10"/>
  <c r="L200" i="10" s="1"/>
  <c r="J201" i="10"/>
  <c r="L201" i="10" s="1"/>
  <c r="J202" i="10"/>
  <c r="L202" i="10" s="1"/>
  <c r="J203" i="10"/>
  <c r="L203" i="10" s="1"/>
  <c r="J204" i="10"/>
  <c r="L204" i="10" s="1"/>
  <c r="J205" i="10"/>
  <c r="L205" i="10" s="1"/>
  <c r="J206" i="10"/>
  <c r="L206" i="10" s="1"/>
  <c r="J207" i="10"/>
  <c r="L207" i="10" s="1"/>
  <c r="J208" i="10"/>
  <c r="L208" i="10" s="1"/>
  <c r="J209" i="10"/>
  <c r="L209" i="10" s="1"/>
  <c r="J210" i="10"/>
  <c r="L210" i="10" s="1"/>
  <c r="J211" i="10"/>
  <c r="L211" i="10" s="1"/>
  <c r="J212" i="10"/>
  <c r="L212" i="10" s="1"/>
  <c r="J213" i="10"/>
  <c r="L213" i="10" s="1"/>
  <c r="J214" i="10"/>
  <c r="L214" i="10" s="1"/>
  <c r="J215" i="10"/>
  <c r="L215" i="10" s="1"/>
  <c r="J216" i="10"/>
  <c r="L216" i="10" s="1"/>
  <c r="J217" i="10"/>
  <c r="L217" i="10" s="1"/>
  <c r="J218" i="10"/>
  <c r="L218" i="10" s="1"/>
  <c r="J219" i="10"/>
  <c r="L219" i="10" s="1"/>
  <c r="J220" i="10"/>
  <c r="L220" i="10" s="1"/>
  <c r="J221" i="10"/>
  <c r="L221" i="10" s="1"/>
  <c r="J222" i="10"/>
  <c r="L222" i="10" s="1"/>
  <c r="J223" i="10"/>
  <c r="L223" i="10" s="1"/>
  <c r="J224" i="10"/>
  <c r="L224" i="10" s="1"/>
  <c r="J225" i="10"/>
  <c r="L225" i="10" s="1"/>
  <c r="J226" i="10"/>
  <c r="L226" i="10" s="1"/>
  <c r="J227" i="10"/>
  <c r="L227" i="10" s="1"/>
  <c r="J228" i="10"/>
  <c r="L228" i="10" s="1"/>
  <c r="J229" i="10"/>
  <c r="L229" i="10" s="1"/>
  <c r="J230" i="10"/>
  <c r="L230" i="10" s="1"/>
  <c r="J231" i="10"/>
  <c r="L231" i="10" s="1"/>
  <c r="J232" i="10"/>
  <c r="L232" i="10" s="1"/>
  <c r="J233" i="10"/>
  <c r="L233" i="10" s="1"/>
  <c r="J234" i="10"/>
  <c r="L234" i="10" s="1"/>
  <c r="J235" i="10"/>
  <c r="L235" i="10" s="1"/>
  <c r="J236" i="10"/>
  <c r="L236" i="10" s="1"/>
  <c r="J237" i="10"/>
  <c r="L237" i="10" s="1"/>
  <c r="J238" i="10"/>
  <c r="L238" i="10" s="1"/>
  <c r="J239" i="10"/>
  <c r="L239" i="10" s="1"/>
  <c r="J240" i="10"/>
  <c r="L240" i="10" s="1"/>
  <c r="J241" i="10"/>
  <c r="L241" i="10" s="1"/>
  <c r="J242" i="10"/>
  <c r="L242" i="10" s="1"/>
  <c r="J243" i="10"/>
  <c r="L243" i="10" s="1"/>
  <c r="J244" i="10"/>
  <c r="J245" i="10"/>
  <c r="L245" i="10" s="1"/>
  <c r="J246" i="10"/>
  <c r="L246" i="10" s="1"/>
  <c r="J247" i="10"/>
  <c r="L247" i="10" s="1"/>
  <c r="J248" i="10"/>
  <c r="L248" i="10" s="1"/>
  <c r="J249" i="10"/>
  <c r="L249" i="10" s="1"/>
  <c r="J250" i="10"/>
  <c r="L250" i="10" s="1"/>
  <c r="J251" i="10"/>
  <c r="L251" i="10" s="1"/>
  <c r="J252" i="10"/>
  <c r="L252" i="10" s="1"/>
  <c r="J253" i="10"/>
  <c r="L253" i="10" s="1"/>
  <c r="J254" i="10"/>
  <c r="L254" i="10" s="1"/>
  <c r="J255" i="10"/>
  <c r="L255" i="10" s="1"/>
  <c r="J256" i="10"/>
  <c r="L256" i="10" s="1"/>
  <c r="J257" i="10"/>
  <c r="L257" i="10" s="1"/>
  <c r="J258" i="10"/>
  <c r="L258" i="10" s="1"/>
  <c r="J259" i="10"/>
  <c r="L259" i="10" s="1"/>
  <c r="J260" i="10"/>
  <c r="L260" i="10" s="1"/>
  <c r="J261" i="10"/>
  <c r="L261" i="10" s="1"/>
  <c r="J262" i="10"/>
  <c r="L262" i="10" s="1"/>
  <c r="J263" i="10"/>
  <c r="L263" i="10" s="1"/>
  <c r="J264" i="10"/>
  <c r="L264" i="10" s="1"/>
  <c r="J265" i="10"/>
  <c r="L265" i="10" s="1"/>
  <c r="J266" i="10"/>
  <c r="L266" i="10" s="1"/>
  <c r="J267" i="10"/>
  <c r="L267" i="10" s="1"/>
  <c r="J268" i="10"/>
  <c r="L268" i="10" s="1"/>
  <c r="J269" i="10"/>
  <c r="L269" i="10" s="1"/>
  <c r="J270" i="10"/>
  <c r="L270" i="10" s="1"/>
  <c r="J271" i="10"/>
  <c r="L271" i="10" s="1"/>
  <c r="J272" i="10"/>
  <c r="L272" i="10" s="1"/>
  <c r="J273" i="10"/>
  <c r="L273" i="10" s="1"/>
  <c r="J274" i="10"/>
  <c r="L274" i="10" s="1"/>
  <c r="J275" i="10"/>
  <c r="L275" i="10" s="1"/>
  <c r="J276" i="10"/>
  <c r="L276" i="10" s="1"/>
  <c r="J277" i="10"/>
  <c r="L277" i="10" s="1"/>
  <c r="J278" i="10"/>
  <c r="L278" i="10" s="1"/>
  <c r="J279" i="10"/>
  <c r="L279" i="10" s="1"/>
  <c r="J280" i="10"/>
  <c r="L280" i="10" s="1"/>
  <c r="J281" i="10"/>
  <c r="L281" i="10" s="1"/>
  <c r="J282" i="10"/>
  <c r="L282" i="10" s="1"/>
  <c r="J283" i="10"/>
  <c r="L283" i="10" s="1"/>
  <c r="J284" i="10"/>
  <c r="L284" i="10" s="1"/>
  <c r="J285" i="10"/>
  <c r="L285" i="10" s="1"/>
  <c r="J286" i="10"/>
  <c r="L286" i="10" s="1"/>
  <c r="J287" i="10"/>
  <c r="L287" i="10" s="1"/>
  <c r="J288" i="10"/>
  <c r="J289" i="10"/>
  <c r="L289" i="10" s="1"/>
  <c r="J290" i="10"/>
  <c r="L290" i="10" s="1"/>
  <c r="J291" i="10"/>
  <c r="L291" i="10" s="1"/>
  <c r="J292" i="10"/>
  <c r="L292" i="10" s="1"/>
  <c r="J293" i="10"/>
  <c r="L293" i="10" s="1"/>
  <c r="J294" i="10"/>
  <c r="L294" i="10" s="1"/>
  <c r="J295" i="10"/>
  <c r="L295" i="10" s="1"/>
  <c r="J296" i="10"/>
  <c r="L296" i="10" s="1"/>
  <c r="J297" i="10"/>
  <c r="L297" i="10" s="1"/>
  <c r="J298" i="10"/>
  <c r="L298" i="10" s="1"/>
  <c r="J299" i="10"/>
  <c r="L299" i="10" s="1"/>
  <c r="J300" i="10"/>
  <c r="L300" i="10" s="1"/>
  <c r="J301" i="10"/>
  <c r="L301" i="10" s="1"/>
  <c r="J302" i="10"/>
  <c r="L302" i="10" s="1"/>
  <c r="J303" i="10"/>
  <c r="L303" i="10" s="1"/>
  <c r="J304" i="10"/>
  <c r="L304" i="10" s="1"/>
  <c r="J305" i="10"/>
  <c r="L305" i="10" s="1"/>
  <c r="J306" i="10"/>
  <c r="L306" i="10" s="1"/>
  <c r="J307" i="10"/>
  <c r="L307" i="10" s="1"/>
  <c r="J308" i="10"/>
  <c r="L308" i="10" s="1"/>
  <c r="J309" i="10"/>
  <c r="L309" i="10" s="1"/>
  <c r="J310" i="10"/>
  <c r="L310" i="10" s="1"/>
  <c r="J311" i="10"/>
  <c r="L311" i="10" s="1"/>
  <c r="J312" i="10"/>
  <c r="L312" i="10" s="1"/>
  <c r="J313" i="10"/>
  <c r="L313" i="10" s="1"/>
  <c r="J314" i="10"/>
  <c r="L314" i="10" s="1"/>
  <c r="J315" i="10"/>
  <c r="L315" i="10" s="1"/>
  <c r="J316" i="10"/>
  <c r="L316" i="10" s="1"/>
  <c r="J317" i="10"/>
  <c r="L317" i="10" s="1"/>
  <c r="J318" i="10"/>
  <c r="L318" i="10" s="1"/>
  <c r="J319" i="10"/>
  <c r="L319" i="10" s="1"/>
  <c r="J320" i="10"/>
  <c r="L320" i="10" s="1"/>
  <c r="J321" i="10"/>
  <c r="L321" i="10" s="1"/>
  <c r="J322" i="10"/>
  <c r="L322" i="10" s="1"/>
  <c r="J323" i="10"/>
  <c r="L323" i="10" s="1"/>
  <c r="J324" i="10"/>
  <c r="L324" i="10" s="1"/>
  <c r="J325" i="10"/>
  <c r="L325" i="10" s="1"/>
  <c r="J326" i="10"/>
  <c r="L326" i="10" s="1"/>
  <c r="J327" i="10"/>
  <c r="L327" i="10" s="1"/>
  <c r="J328" i="10"/>
  <c r="L328" i="10" s="1"/>
  <c r="J329" i="10"/>
  <c r="L329" i="10" s="1"/>
  <c r="J330" i="10"/>
  <c r="L330" i="10" s="1"/>
  <c r="J331" i="10"/>
  <c r="L331" i="10" s="1"/>
  <c r="J332" i="10"/>
  <c r="L332" i="10" s="1"/>
  <c r="J333" i="10"/>
  <c r="L333" i="10" s="1"/>
  <c r="J334" i="10"/>
  <c r="L334" i="10" s="1"/>
  <c r="J335" i="10"/>
  <c r="L335" i="10" s="1"/>
  <c r="J336" i="10"/>
  <c r="L336" i="10" s="1"/>
  <c r="J337" i="10"/>
  <c r="L337" i="10" s="1"/>
  <c r="J338" i="10"/>
  <c r="L338" i="10" s="1"/>
  <c r="J339" i="10"/>
  <c r="L339" i="10" s="1"/>
  <c r="J340" i="10"/>
  <c r="L340" i="10" s="1"/>
  <c r="J341" i="10"/>
  <c r="J342" i="10"/>
  <c r="L342" i="10" s="1"/>
  <c r="J343" i="10"/>
  <c r="L343" i="10" s="1"/>
  <c r="J344" i="10"/>
  <c r="L344" i="10" s="1"/>
  <c r="J345" i="10"/>
  <c r="L345" i="10" s="1"/>
  <c r="J346" i="10"/>
  <c r="L346" i="10" s="1"/>
  <c r="J347" i="10"/>
  <c r="L347" i="10" s="1"/>
  <c r="J348" i="10"/>
  <c r="L348" i="10" s="1"/>
  <c r="J349" i="10"/>
  <c r="L349" i="10" s="1"/>
  <c r="J350" i="10"/>
  <c r="L350" i="10" s="1"/>
  <c r="J351" i="10"/>
  <c r="L351" i="10" s="1"/>
  <c r="J352" i="10"/>
  <c r="L352" i="10" s="1"/>
  <c r="J353" i="10"/>
  <c r="L353" i="10" s="1"/>
  <c r="J354" i="10"/>
  <c r="L354" i="10" s="1"/>
  <c r="J355" i="10"/>
  <c r="L355" i="10" s="1"/>
  <c r="J356" i="10"/>
  <c r="L356" i="10" s="1"/>
  <c r="J357" i="10"/>
  <c r="L357" i="10" s="1"/>
  <c r="J358" i="10"/>
  <c r="L358" i="10" s="1"/>
  <c r="J359" i="10"/>
  <c r="L359" i="10" s="1"/>
  <c r="J360" i="10"/>
  <c r="L360" i="10" s="1"/>
  <c r="J361" i="10"/>
  <c r="L361" i="10" s="1"/>
  <c r="J362" i="10"/>
  <c r="L362" i="10" s="1"/>
  <c r="J363" i="10"/>
  <c r="L363" i="10" s="1"/>
  <c r="J364" i="10"/>
  <c r="L364" i="10" s="1"/>
  <c r="J365" i="10"/>
  <c r="L365" i="10" s="1"/>
  <c r="J366" i="10"/>
  <c r="L366" i="10" s="1"/>
  <c r="J367" i="10"/>
  <c r="L367" i="10" s="1"/>
  <c r="J368" i="10"/>
  <c r="L368" i="10" s="1"/>
  <c r="J369" i="10"/>
  <c r="L369" i="10" s="1"/>
  <c r="J370" i="10"/>
  <c r="L370" i="10" s="1"/>
  <c r="J371" i="10"/>
  <c r="L371" i="10" s="1"/>
  <c r="J372" i="10"/>
  <c r="L372" i="10" s="1"/>
  <c r="J373" i="10"/>
  <c r="L373" i="10" s="1"/>
  <c r="J374" i="10"/>
  <c r="L374" i="10" s="1"/>
  <c r="J375" i="10"/>
  <c r="L375" i="10" s="1"/>
  <c r="J376" i="10"/>
  <c r="L376" i="10" s="1"/>
  <c r="J377" i="10"/>
  <c r="L377" i="10" s="1"/>
  <c r="J378" i="10"/>
  <c r="L378" i="10" s="1"/>
  <c r="J379" i="10"/>
  <c r="L379" i="10" s="1"/>
  <c r="J380" i="10"/>
  <c r="L380" i="10" s="1"/>
  <c r="J381" i="10"/>
  <c r="L381" i="10" s="1"/>
  <c r="J382" i="10"/>
  <c r="L382" i="10" s="1"/>
  <c r="J383" i="10"/>
  <c r="L383" i="10" s="1"/>
  <c r="J384" i="10"/>
  <c r="L384" i="10" s="1"/>
  <c r="J385" i="10"/>
  <c r="L385" i="10" s="1"/>
  <c r="J386" i="10"/>
  <c r="L386" i="10" s="1"/>
  <c r="J387" i="10"/>
  <c r="L387" i="10" s="1"/>
  <c r="J388" i="10"/>
  <c r="L388" i="10" s="1"/>
  <c r="J389" i="10"/>
  <c r="L389" i="10" s="1"/>
  <c r="J390" i="10"/>
  <c r="L390" i="10" s="1"/>
  <c r="J391" i="10"/>
  <c r="L391" i="10" s="1"/>
  <c r="J392" i="10"/>
  <c r="L392" i="10" s="1"/>
  <c r="J393" i="10"/>
  <c r="J394" i="10"/>
  <c r="L394" i="10" s="1"/>
  <c r="J395" i="10"/>
  <c r="L395" i="10" s="1"/>
  <c r="J396" i="10"/>
  <c r="L396" i="10" s="1"/>
  <c r="J397" i="10"/>
  <c r="L397" i="10" s="1"/>
  <c r="J398" i="10"/>
  <c r="L398" i="10" s="1"/>
  <c r="J399" i="10"/>
  <c r="L399" i="10" s="1"/>
  <c r="J400" i="10"/>
  <c r="L400" i="10" s="1"/>
  <c r="J401" i="10"/>
  <c r="L401" i="10" s="1"/>
  <c r="J402" i="10"/>
  <c r="L402" i="10" s="1"/>
  <c r="J403" i="10"/>
  <c r="L403" i="10" s="1"/>
  <c r="J404" i="10"/>
  <c r="L404" i="10" s="1"/>
  <c r="J405" i="10"/>
  <c r="L405" i="10" s="1"/>
  <c r="J406" i="10"/>
  <c r="L406" i="10" s="1"/>
  <c r="J407" i="10"/>
  <c r="L407" i="10" s="1"/>
  <c r="J408" i="10"/>
  <c r="L408" i="10" s="1"/>
  <c r="J409" i="10"/>
  <c r="L409" i="10" s="1"/>
  <c r="J410" i="10"/>
  <c r="L410" i="10" s="1"/>
  <c r="J411" i="10"/>
  <c r="L411" i="10" s="1"/>
  <c r="J412" i="10"/>
  <c r="L412" i="10" s="1"/>
  <c r="J413" i="10"/>
  <c r="L413" i="10" s="1"/>
  <c r="J414" i="10"/>
  <c r="L414" i="10" s="1"/>
  <c r="J415" i="10"/>
  <c r="L415" i="10" s="1"/>
  <c r="J416" i="10"/>
  <c r="L416" i="10" s="1"/>
  <c r="J417" i="10"/>
  <c r="L417" i="10" s="1"/>
  <c r="J418" i="10"/>
  <c r="L418" i="10" s="1"/>
  <c r="J419" i="10"/>
  <c r="L419" i="10" s="1"/>
  <c r="J420" i="10"/>
  <c r="L420" i="10" s="1"/>
  <c r="J421" i="10"/>
  <c r="L421" i="10" s="1"/>
  <c r="J422" i="10"/>
  <c r="L422" i="10" s="1"/>
  <c r="J423" i="10"/>
  <c r="L423" i="10" s="1"/>
  <c r="J424" i="10"/>
  <c r="L424" i="10" s="1"/>
  <c r="J425" i="10"/>
  <c r="L425" i="10" s="1"/>
  <c r="J426" i="10"/>
  <c r="L426" i="10" s="1"/>
  <c r="J427" i="10"/>
  <c r="L427" i="10" s="1"/>
  <c r="J428" i="10"/>
  <c r="L428" i="10" s="1"/>
  <c r="J429" i="10"/>
  <c r="L429" i="10" s="1"/>
  <c r="J430" i="10"/>
  <c r="L430" i="10" s="1"/>
  <c r="J431" i="10"/>
  <c r="L431" i="10" s="1"/>
  <c r="J432" i="10"/>
  <c r="L432" i="10" s="1"/>
  <c r="J433" i="10"/>
  <c r="L433" i="10" s="1"/>
  <c r="J434" i="10"/>
  <c r="L434" i="10" s="1"/>
  <c r="J435" i="10"/>
  <c r="L435" i="10" s="1"/>
  <c r="J436" i="10"/>
  <c r="L436" i="10" s="1"/>
  <c r="J437" i="10"/>
  <c r="L437" i="10" s="1"/>
  <c r="J438" i="10"/>
  <c r="L438" i="10" s="1"/>
  <c r="J439" i="10"/>
  <c r="L439" i="10" s="1"/>
  <c r="J440" i="10"/>
  <c r="L440" i="10" s="1"/>
  <c r="J441" i="10"/>
  <c r="L441" i="10" s="1"/>
  <c r="J442" i="10"/>
  <c r="L442" i="10" s="1"/>
  <c r="J443" i="10"/>
  <c r="L443" i="10" s="1"/>
  <c r="J444" i="10"/>
  <c r="L444" i="10" s="1"/>
  <c r="J445" i="10"/>
  <c r="L445" i="10" s="1"/>
  <c r="J446" i="10"/>
  <c r="L446" i="10" s="1"/>
  <c r="J447" i="10"/>
  <c r="L447" i="10" s="1"/>
  <c r="J448" i="10"/>
  <c r="J449" i="10"/>
  <c r="L449" i="10" s="1"/>
  <c r="J450" i="10"/>
  <c r="L450" i="10" s="1"/>
  <c r="J451" i="10"/>
  <c r="L451" i="10" s="1"/>
  <c r="J452" i="10"/>
  <c r="L452" i="10" s="1"/>
  <c r="J453" i="10"/>
  <c r="L453" i="10" s="1"/>
  <c r="J454" i="10"/>
  <c r="L454" i="10" s="1"/>
  <c r="J455" i="10"/>
  <c r="L455" i="10" s="1"/>
  <c r="J456" i="10"/>
  <c r="L456" i="10" s="1"/>
  <c r="J457" i="10"/>
  <c r="L457" i="10" s="1"/>
  <c r="J458" i="10"/>
  <c r="L458" i="10" s="1"/>
  <c r="J459" i="10"/>
  <c r="L459" i="10" s="1"/>
  <c r="J460" i="10"/>
  <c r="L460" i="10" s="1"/>
  <c r="J461" i="10"/>
  <c r="L461" i="10" s="1"/>
  <c r="J462" i="10"/>
  <c r="L462" i="10" s="1"/>
  <c r="J463" i="10"/>
  <c r="L463" i="10" s="1"/>
  <c r="J464" i="10"/>
  <c r="L464" i="10" s="1"/>
  <c r="J465" i="10"/>
  <c r="L465" i="10" s="1"/>
  <c r="J466" i="10"/>
  <c r="L466" i="10" s="1"/>
  <c r="J467" i="10"/>
  <c r="L467" i="10" s="1"/>
  <c r="J468" i="10"/>
  <c r="L468" i="10" s="1"/>
  <c r="J469" i="10"/>
  <c r="L469" i="10" s="1"/>
  <c r="J470" i="10"/>
  <c r="L470" i="10" s="1"/>
  <c r="J471" i="10"/>
  <c r="L471" i="10" s="1"/>
  <c r="J472" i="10"/>
  <c r="L472" i="10" s="1"/>
  <c r="J473" i="10"/>
  <c r="L473" i="10" s="1"/>
  <c r="J474" i="10"/>
  <c r="L474" i="10" s="1"/>
  <c r="J475" i="10"/>
  <c r="L475" i="10" s="1"/>
  <c r="J476" i="10"/>
  <c r="L476" i="10" s="1"/>
  <c r="J477" i="10"/>
  <c r="L477" i="10" s="1"/>
  <c r="J478" i="10"/>
  <c r="L478" i="10" s="1"/>
  <c r="J479" i="10"/>
  <c r="L479" i="10" s="1"/>
  <c r="J480" i="10"/>
  <c r="L480" i="10" s="1"/>
  <c r="J481" i="10"/>
  <c r="L481" i="10" s="1"/>
  <c r="J482" i="10"/>
  <c r="L482" i="10" s="1"/>
  <c r="J483" i="10"/>
  <c r="L483" i="10" s="1"/>
  <c r="J484" i="10"/>
  <c r="L484" i="10" s="1"/>
  <c r="J485" i="10"/>
  <c r="L485" i="10" s="1"/>
  <c r="J486" i="10"/>
  <c r="L486" i="10" s="1"/>
  <c r="J487" i="10"/>
  <c r="L487" i="10" s="1"/>
  <c r="J488" i="10"/>
  <c r="L488" i="10" s="1"/>
  <c r="J489" i="10"/>
  <c r="L489" i="10" s="1"/>
  <c r="J490" i="10"/>
  <c r="L490" i="10" s="1"/>
  <c r="J491" i="10"/>
  <c r="L491" i="10" s="1"/>
  <c r="J492" i="10"/>
  <c r="L492" i="10" s="1"/>
  <c r="J493" i="10"/>
  <c r="L493" i="10" s="1"/>
  <c r="J494" i="10"/>
  <c r="L494" i="10" s="1"/>
  <c r="J495" i="10"/>
  <c r="L495" i="10" s="1"/>
  <c r="J496" i="10"/>
  <c r="L496" i="10" s="1"/>
  <c r="J497" i="10"/>
  <c r="L497" i="10" s="1"/>
  <c r="J498" i="10"/>
  <c r="L498" i="10" s="1"/>
  <c r="J499" i="10"/>
  <c r="L499" i="10" s="1"/>
  <c r="J500" i="10"/>
  <c r="L500" i="10" s="1"/>
  <c r="J501" i="10"/>
  <c r="L501" i="10" s="1"/>
  <c r="J502" i="10"/>
  <c r="L502" i="10" s="1"/>
  <c r="J503" i="10"/>
  <c r="L503" i="10" s="1"/>
  <c r="J504" i="10"/>
  <c r="L504" i="10" s="1"/>
  <c r="J505" i="10"/>
  <c r="L505" i="10" s="1"/>
  <c r="J506" i="10"/>
  <c r="L506" i="10" s="1"/>
  <c r="J507" i="10"/>
  <c r="L507" i="10" s="1"/>
  <c r="J508" i="10"/>
  <c r="L508" i="10" s="1"/>
  <c r="J509" i="10"/>
  <c r="L509" i="10" s="1"/>
  <c r="J510" i="10"/>
  <c r="L510" i="10" s="1"/>
  <c r="J511" i="10"/>
  <c r="L511" i="10" s="1"/>
  <c r="J512" i="10"/>
  <c r="J513" i="10"/>
  <c r="L513" i="10" s="1"/>
  <c r="J514" i="10"/>
  <c r="L514" i="10" s="1"/>
  <c r="J515" i="10"/>
  <c r="L515" i="10" s="1"/>
  <c r="J516" i="10"/>
  <c r="L516" i="10" s="1"/>
  <c r="J517" i="10"/>
  <c r="L517" i="10" s="1"/>
  <c r="J518" i="10"/>
  <c r="L518" i="10" s="1"/>
  <c r="J519" i="10"/>
  <c r="L519" i="10" s="1"/>
  <c r="J520" i="10"/>
  <c r="L520" i="10" s="1"/>
  <c r="J521" i="10"/>
  <c r="L521" i="10" s="1"/>
  <c r="J522" i="10"/>
  <c r="L522" i="10" s="1"/>
  <c r="J523" i="10"/>
  <c r="L523" i="10" s="1"/>
  <c r="J524" i="10"/>
  <c r="L524" i="10" s="1"/>
  <c r="J525" i="10"/>
  <c r="L525" i="10" s="1"/>
  <c r="J526" i="10"/>
  <c r="L526" i="10" s="1"/>
  <c r="J527" i="10"/>
  <c r="L527" i="10" s="1"/>
  <c r="J528" i="10"/>
  <c r="L528" i="10" s="1"/>
  <c r="J529" i="10"/>
  <c r="L529" i="10" s="1"/>
  <c r="J530" i="10"/>
  <c r="L530" i="10" s="1"/>
  <c r="J531" i="10"/>
  <c r="L531" i="10" s="1"/>
  <c r="J532" i="10"/>
  <c r="L532" i="10" s="1"/>
  <c r="J533" i="10"/>
  <c r="L533" i="10" s="1"/>
  <c r="J534" i="10"/>
  <c r="L534" i="10" s="1"/>
  <c r="J535" i="10"/>
  <c r="L535" i="10" s="1"/>
  <c r="J536" i="10"/>
  <c r="L536" i="10" s="1"/>
  <c r="J537" i="10"/>
  <c r="L537" i="10" s="1"/>
  <c r="J538" i="10"/>
  <c r="L538" i="10" s="1"/>
  <c r="J539" i="10"/>
  <c r="L539" i="10" s="1"/>
  <c r="J540" i="10"/>
  <c r="L540" i="10" s="1"/>
  <c r="J541" i="10"/>
  <c r="L541" i="10" s="1"/>
  <c r="J542" i="10"/>
  <c r="L542" i="10" s="1"/>
  <c r="J543" i="10"/>
  <c r="L543" i="10" s="1"/>
  <c r="J544" i="10"/>
  <c r="L544" i="10" s="1"/>
  <c r="J545" i="10"/>
  <c r="L545" i="10" s="1"/>
  <c r="J546" i="10"/>
  <c r="L546" i="10" s="1"/>
  <c r="J547" i="10"/>
  <c r="L547" i="10" s="1"/>
  <c r="J548" i="10"/>
  <c r="L548" i="10" s="1"/>
  <c r="J549" i="10"/>
  <c r="L549" i="10" s="1"/>
  <c r="J550" i="10"/>
  <c r="L550" i="10" s="1"/>
  <c r="J551" i="10"/>
  <c r="L551" i="10" s="1"/>
  <c r="J552" i="10"/>
  <c r="L552" i="10" s="1"/>
  <c r="J553" i="10"/>
  <c r="L553" i="10" s="1"/>
  <c r="J554" i="10"/>
  <c r="L554" i="10" s="1"/>
  <c r="J555" i="10"/>
  <c r="L555" i="10" s="1"/>
  <c r="J556" i="10"/>
  <c r="L556" i="10" s="1"/>
  <c r="J557" i="10"/>
  <c r="L557" i="10" s="1"/>
  <c r="J558" i="10"/>
  <c r="L558" i="10" s="1"/>
  <c r="J559" i="10"/>
  <c r="L559" i="10" s="1"/>
  <c r="J560" i="10"/>
  <c r="L560" i="10" s="1"/>
  <c r="J561" i="10"/>
  <c r="L561" i="10" s="1"/>
  <c r="J562" i="10"/>
  <c r="L562" i="10" s="1"/>
  <c r="J563" i="10"/>
  <c r="L563" i="10" s="1"/>
  <c r="J564" i="10"/>
  <c r="L564" i="10" s="1"/>
  <c r="J565" i="10"/>
  <c r="L565" i="10" s="1"/>
  <c r="J566" i="10"/>
  <c r="L566" i="10" s="1"/>
  <c r="J567" i="10"/>
  <c r="L567" i="10" s="1"/>
  <c r="J568" i="10"/>
  <c r="L568" i="10" s="1"/>
  <c r="J569" i="10"/>
  <c r="L569" i="10" s="1"/>
  <c r="J570" i="10"/>
  <c r="L570" i="10" s="1"/>
  <c r="J571" i="10"/>
  <c r="L571" i="10" s="1"/>
  <c r="J572" i="10"/>
  <c r="L572" i="10" s="1"/>
  <c r="J573" i="10"/>
  <c r="L573" i="10" s="1"/>
  <c r="J574" i="10"/>
  <c r="L574" i="10" s="1"/>
  <c r="J575" i="10"/>
  <c r="L575" i="10" s="1"/>
  <c r="J576" i="10"/>
  <c r="J577" i="10"/>
  <c r="L577" i="10" s="1"/>
  <c r="J578" i="10"/>
  <c r="L578" i="10" s="1"/>
  <c r="J579" i="10"/>
  <c r="L579" i="10" s="1"/>
  <c r="J580" i="10"/>
  <c r="L580" i="10" s="1"/>
  <c r="J581" i="10"/>
  <c r="L581" i="10" s="1"/>
  <c r="J582" i="10"/>
  <c r="L582" i="10" s="1"/>
  <c r="J583" i="10"/>
  <c r="L583" i="10" s="1"/>
  <c r="J584" i="10"/>
  <c r="L584" i="10" s="1"/>
  <c r="J585" i="10"/>
  <c r="L585" i="10" s="1"/>
  <c r="J586" i="10"/>
  <c r="L586" i="10" s="1"/>
  <c r="J587" i="10"/>
  <c r="L587" i="10" s="1"/>
  <c r="J588" i="10"/>
  <c r="L588" i="10" s="1"/>
  <c r="J589" i="10"/>
  <c r="L589" i="10" s="1"/>
  <c r="J590" i="10"/>
  <c r="L590" i="10" s="1"/>
  <c r="J591" i="10"/>
  <c r="L591" i="10" s="1"/>
  <c r="J592" i="10"/>
  <c r="L592" i="10" s="1"/>
  <c r="J593" i="10"/>
  <c r="L593" i="10" s="1"/>
  <c r="J594" i="10"/>
  <c r="L594" i="10" s="1"/>
  <c r="J595" i="10"/>
  <c r="L595" i="10" s="1"/>
  <c r="J596" i="10"/>
  <c r="L596" i="10" s="1"/>
  <c r="J597" i="10"/>
  <c r="L597" i="10" s="1"/>
  <c r="J598" i="10"/>
  <c r="L598" i="10" s="1"/>
  <c r="J599" i="10"/>
  <c r="L599" i="10" s="1"/>
  <c r="J600" i="10"/>
  <c r="L600" i="10" s="1"/>
  <c r="J601" i="10"/>
  <c r="L601" i="10" s="1"/>
  <c r="J602" i="10"/>
  <c r="L602" i="10" s="1"/>
  <c r="J603" i="10"/>
  <c r="L603" i="10" s="1"/>
  <c r="J604" i="10"/>
  <c r="L604" i="10" s="1"/>
  <c r="J605" i="10"/>
  <c r="L605" i="10" s="1"/>
  <c r="J606" i="10"/>
  <c r="L606" i="10" s="1"/>
  <c r="J607" i="10"/>
  <c r="L607" i="10" s="1"/>
  <c r="J608" i="10"/>
  <c r="L608" i="10" s="1"/>
  <c r="J609" i="10"/>
  <c r="L609" i="10" s="1"/>
  <c r="J610" i="10"/>
  <c r="L610" i="10" s="1"/>
  <c r="J611" i="10"/>
  <c r="L611" i="10" s="1"/>
  <c r="J612" i="10"/>
  <c r="L612" i="10" s="1"/>
  <c r="J613" i="10"/>
  <c r="L613" i="10" s="1"/>
  <c r="J614" i="10"/>
  <c r="L614" i="10" s="1"/>
  <c r="J615" i="10"/>
  <c r="L615" i="10" s="1"/>
  <c r="J616" i="10"/>
  <c r="L616" i="10" s="1"/>
  <c r="J617" i="10"/>
  <c r="L617" i="10" s="1"/>
  <c r="J618" i="10"/>
  <c r="L618" i="10" s="1"/>
  <c r="J619" i="10"/>
  <c r="L619" i="10" s="1"/>
  <c r="J620" i="10"/>
  <c r="L620" i="10" s="1"/>
  <c r="J621" i="10"/>
  <c r="L621" i="10" s="1"/>
  <c r="J622" i="10"/>
  <c r="L622" i="10" s="1"/>
  <c r="J623" i="10"/>
  <c r="L623" i="10" s="1"/>
  <c r="J624" i="10"/>
  <c r="L624" i="10" s="1"/>
  <c r="J625" i="10"/>
  <c r="L625" i="10" s="1"/>
  <c r="J626" i="10"/>
  <c r="L626" i="10" s="1"/>
  <c r="J627" i="10"/>
  <c r="L627" i="10" s="1"/>
  <c r="J628" i="10"/>
  <c r="L628" i="10" s="1"/>
  <c r="J629" i="10"/>
  <c r="L629" i="10" s="1"/>
  <c r="J630" i="10"/>
  <c r="L630" i="10" s="1"/>
  <c r="J631" i="10"/>
  <c r="L631" i="10" s="1"/>
  <c r="J632" i="10"/>
  <c r="L632" i="10" s="1"/>
  <c r="J633" i="10"/>
  <c r="L633" i="10" s="1"/>
  <c r="J634" i="10"/>
  <c r="L634" i="10" s="1"/>
  <c r="J635" i="10"/>
  <c r="L635" i="10" s="1"/>
  <c r="J636" i="10"/>
  <c r="L636" i="10" s="1"/>
  <c r="J637" i="10"/>
  <c r="L637" i="10" s="1"/>
  <c r="J638" i="10"/>
  <c r="L638" i="10" s="1"/>
  <c r="J639" i="10"/>
  <c r="L639" i="10" s="1"/>
  <c r="J640" i="10"/>
  <c r="J641" i="10"/>
  <c r="L641" i="10" s="1"/>
  <c r="J642" i="10"/>
  <c r="L642" i="10" s="1"/>
  <c r="J643" i="10"/>
  <c r="L643" i="10" s="1"/>
  <c r="J644" i="10"/>
  <c r="L644" i="10" s="1"/>
  <c r="J645" i="10"/>
  <c r="L645" i="10" s="1"/>
  <c r="J646" i="10"/>
  <c r="L646" i="10" s="1"/>
  <c r="J647" i="10"/>
  <c r="L647" i="10" s="1"/>
  <c r="J648" i="10"/>
  <c r="L648" i="10" s="1"/>
  <c r="J649" i="10"/>
  <c r="L649" i="10" s="1"/>
  <c r="J650" i="10"/>
  <c r="L650" i="10" s="1"/>
  <c r="J651" i="10"/>
  <c r="L651" i="10" s="1"/>
  <c r="J652" i="10"/>
  <c r="L652" i="10" s="1"/>
  <c r="J653" i="10"/>
  <c r="L653" i="10" s="1"/>
  <c r="J654" i="10"/>
  <c r="L654" i="10" s="1"/>
  <c r="J655" i="10"/>
  <c r="L655" i="10" s="1"/>
  <c r="J656" i="10"/>
  <c r="L656" i="10" s="1"/>
  <c r="J657" i="10"/>
  <c r="L657" i="10" s="1"/>
  <c r="J658" i="10"/>
  <c r="L658" i="10" s="1"/>
  <c r="J659" i="10"/>
  <c r="L659" i="10" s="1"/>
  <c r="J660" i="10"/>
  <c r="L660" i="10" s="1"/>
  <c r="J661" i="10"/>
  <c r="L661" i="10" s="1"/>
  <c r="J662" i="10"/>
  <c r="L662" i="10" s="1"/>
  <c r="J663" i="10"/>
  <c r="L663" i="10" s="1"/>
  <c r="J664" i="10"/>
  <c r="L664" i="10" s="1"/>
  <c r="J665" i="10"/>
  <c r="L665" i="10" s="1"/>
  <c r="J666" i="10"/>
  <c r="L666" i="10" s="1"/>
  <c r="J667" i="10"/>
  <c r="L667" i="10" s="1"/>
  <c r="J668" i="10"/>
  <c r="L668" i="10" s="1"/>
  <c r="J669" i="10"/>
  <c r="L669" i="10" s="1"/>
  <c r="J670" i="10"/>
  <c r="L670" i="10" s="1"/>
  <c r="J671" i="10"/>
  <c r="L671" i="10" s="1"/>
  <c r="J672" i="10"/>
  <c r="L672" i="10" s="1"/>
  <c r="J673" i="10"/>
  <c r="L673" i="10" s="1"/>
  <c r="J674" i="10"/>
  <c r="L674" i="10" s="1"/>
  <c r="J675" i="10"/>
  <c r="L675" i="10" s="1"/>
  <c r="J676" i="10"/>
  <c r="L676" i="10" s="1"/>
  <c r="J677" i="10"/>
  <c r="L677" i="10" s="1"/>
  <c r="J678" i="10"/>
  <c r="L678" i="10" s="1"/>
  <c r="J679" i="10"/>
  <c r="L679" i="10" s="1"/>
  <c r="J680" i="10"/>
  <c r="L680" i="10" s="1"/>
  <c r="J681" i="10"/>
  <c r="L681" i="10" s="1"/>
  <c r="J682" i="10"/>
  <c r="L682" i="10" s="1"/>
  <c r="J683" i="10"/>
  <c r="L683" i="10" s="1"/>
  <c r="J684" i="10"/>
  <c r="L684" i="10" s="1"/>
  <c r="J685" i="10"/>
  <c r="L685" i="10" s="1"/>
  <c r="J686" i="10"/>
  <c r="L686" i="10" s="1"/>
  <c r="J687" i="10"/>
  <c r="L687" i="10" s="1"/>
  <c r="J688" i="10"/>
  <c r="L688" i="10" s="1"/>
  <c r="J689" i="10"/>
  <c r="L689" i="10" s="1"/>
  <c r="J690" i="10"/>
  <c r="L690" i="10" s="1"/>
  <c r="J691" i="10"/>
  <c r="L691" i="10" s="1"/>
  <c r="J692" i="10"/>
  <c r="L692" i="10" s="1"/>
  <c r="J693" i="10"/>
  <c r="L693" i="10" s="1"/>
  <c r="J694" i="10"/>
  <c r="L694" i="10" s="1"/>
  <c r="J695" i="10"/>
  <c r="L695" i="10" s="1"/>
  <c r="J696" i="10"/>
  <c r="L696" i="10" s="1"/>
  <c r="J697" i="10"/>
  <c r="L697" i="10" s="1"/>
  <c r="J698" i="10"/>
  <c r="L698" i="10" s="1"/>
  <c r="J699" i="10"/>
  <c r="L699" i="10" s="1"/>
  <c r="J700" i="10"/>
  <c r="L700" i="10" s="1"/>
  <c r="J701" i="10"/>
  <c r="L701" i="10" s="1"/>
  <c r="J702" i="10"/>
  <c r="L702" i="10" s="1"/>
  <c r="J703" i="10"/>
  <c r="L703" i="10" s="1"/>
  <c r="J704" i="10"/>
  <c r="L704" i="10" s="1"/>
  <c r="J705" i="10"/>
  <c r="L705" i="10" s="1"/>
  <c r="J706" i="10"/>
  <c r="L706" i="10" s="1"/>
  <c r="J707" i="10"/>
  <c r="L707" i="10" s="1"/>
  <c r="J708" i="10"/>
  <c r="L708" i="10" s="1"/>
  <c r="J709" i="10"/>
  <c r="L709" i="10" s="1"/>
  <c r="J710" i="10"/>
  <c r="L710" i="10" s="1"/>
  <c r="J711" i="10"/>
  <c r="L711" i="10" s="1"/>
  <c r="J712" i="10"/>
  <c r="L712" i="10" s="1"/>
  <c r="J713" i="10"/>
  <c r="L713" i="10" s="1"/>
  <c r="J714" i="10"/>
  <c r="L714" i="10" s="1"/>
  <c r="J715" i="10"/>
  <c r="L715" i="10" s="1"/>
  <c r="J716" i="10"/>
  <c r="L716" i="10" s="1"/>
  <c r="J717" i="10"/>
  <c r="L717" i="10" s="1"/>
  <c r="J718" i="10"/>
  <c r="L718" i="10" s="1"/>
  <c r="J719" i="10"/>
  <c r="L719" i="10" s="1"/>
  <c r="J720" i="10"/>
  <c r="L720" i="10" s="1"/>
  <c r="J721" i="10"/>
  <c r="L721" i="10" s="1"/>
  <c r="J722" i="10"/>
  <c r="L722" i="10" s="1"/>
  <c r="J723" i="10"/>
  <c r="L723" i="10" s="1"/>
  <c r="J724" i="10"/>
  <c r="L724" i="10" s="1"/>
  <c r="J725" i="10"/>
  <c r="L725" i="10" s="1"/>
  <c r="J726" i="10"/>
  <c r="L726" i="10" s="1"/>
  <c r="J727" i="10"/>
  <c r="L727" i="10" s="1"/>
  <c r="J728" i="10"/>
  <c r="L728" i="10" s="1"/>
  <c r="J729" i="10"/>
  <c r="L729" i="10" s="1"/>
  <c r="J2" i="10"/>
  <c r="L2" i="10" s="1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2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" i="10"/>
  <c r="C3" i="5" l="1"/>
  <c r="C4" i="5"/>
  <c r="C5" i="5"/>
  <c r="C6" i="5"/>
  <c r="C2" i="5"/>
  <c r="C97" i="4" l="1"/>
  <c r="D97" i="4" s="1"/>
  <c r="C98" i="4"/>
  <c r="D98" i="4" s="1"/>
  <c r="C99" i="4"/>
  <c r="D99" i="4" s="1"/>
  <c r="C100" i="4"/>
  <c r="D100" i="4" s="1"/>
  <c r="C101" i="4"/>
  <c r="D101" i="4" s="1"/>
  <c r="C80" i="4"/>
  <c r="D80" i="4" s="1"/>
  <c r="C81" i="4"/>
  <c r="D81" i="4" s="1"/>
  <c r="C82" i="4"/>
  <c r="D82" i="4" s="1"/>
  <c r="C83" i="4"/>
  <c r="D83" i="4" s="1"/>
  <c r="C84" i="4"/>
  <c r="D84" i="4" s="1"/>
  <c r="C85" i="4"/>
  <c r="D85" i="4" s="1"/>
  <c r="C86" i="4"/>
  <c r="D86" i="4" s="1"/>
  <c r="C87" i="4"/>
  <c r="D87" i="4" s="1"/>
  <c r="C88" i="4"/>
  <c r="D88" i="4" s="1"/>
  <c r="C89" i="4"/>
  <c r="D89" i="4" s="1"/>
  <c r="C90" i="4"/>
  <c r="D90" i="4" s="1"/>
  <c r="C91" i="4"/>
  <c r="D91" i="4" s="1"/>
  <c r="C92" i="4"/>
  <c r="D92" i="4" s="1"/>
  <c r="C93" i="4"/>
  <c r="D93" i="4" s="1"/>
  <c r="C94" i="4"/>
  <c r="D94" i="4" s="1"/>
  <c r="C95" i="4"/>
  <c r="D95" i="4" s="1"/>
  <c r="C96" i="4"/>
  <c r="D96" i="4" s="1"/>
  <c r="C61" i="4"/>
  <c r="D61" i="4" s="1"/>
  <c r="C62" i="4"/>
  <c r="D62" i="4" s="1"/>
  <c r="C63" i="4"/>
  <c r="D63" i="4" s="1"/>
  <c r="C64" i="4"/>
  <c r="D64" i="4" s="1"/>
  <c r="C65" i="4"/>
  <c r="D65" i="4" s="1"/>
  <c r="C66" i="4"/>
  <c r="D66" i="4" s="1"/>
  <c r="C67" i="4"/>
  <c r="D67" i="4" s="1"/>
  <c r="C68" i="4"/>
  <c r="D68" i="4" s="1"/>
  <c r="C69" i="4"/>
  <c r="D69" i="4" s="1"/>
  <c r="C70" i="4"/>
  <c r="D70" i="4" s="1"/>
  <c r="C71" i="4"/>
  <c r="D71" i="4" s="1"/>
  <c r="C72" i="4"/>
  <c r="D72" i="4" s="1"/>
  <c r="C73" i="4"/>
  <c r="D73" i="4" s="1"/>
  <c r="C74" i="4"/>
  <c r="D74" i="4" s="1"/>
  <c r="C75" i="4"/>
  <c r="D75" i="4" s="1"/>
  <c r="C76" i="4"/>
  <c r="D76" i="4" s="1"/>
  <c r="C77" i="4"/>
  <c r="D77" i="4" s="1"/>
  <c r="C78" i="4"/>
  <c r="D78" i="4" s="1"/>
  <c r="C79" i="4"/>
  <c r="D79" i="4" s="1"/>
  <c r="C60" i="4"/>
  <c r="D60" i="4" s="1"/>
  <c r="C40" i="4"/>
  <c r="D40" i="4" s="1"/>
  <c r="C41" i="4"/>
  <c r="D41" i="4" s="1"/>
  <c r="C42" i="4"/>
  <c r="D42" i="4" s="1"/>
  <c r="C43" i="4"/>
  <c r="D43" i="4" s="1"/>
  <c r="C44" i="4"/>
  <c r="D44" i="4" s="1"/>
  <c r="C45" i="4"/>
  <c r="D45" i="4" s="1"/>
  <c r="C46" i="4"/>
  <c r="D46" i="4" s="1"/>
  <c r="C47" i="4"/>
  <c r="D47" i="4" s="1"/>
  <c r="C48" i="4"/>
  <c r="D48" i="4" s="1"/>
  <c r="C49" i="4"/>
  <c r="D49" i="4" s="1"/>
  <c r="C50" i="4"/>
  <c r="D50" i="4" s="1"/>
  <c r="C51" i="4"/>
  <c r="D51" i="4" s="1"/>
  <c r="C52" i="4"/>
  <c r="D52" i="4" s="1"/>
  <c r="C53" i="4"/>
  <c r="D53" i="4" s="1"/>
  <c r="C54" i="4"/>
  <c r="D54" i="4" s="1"/>
  <c r="C55" i="4"/>
  <c r="D55" i="4" s="1"/>
  <c r="C56" i="4"/>
  <c r="D56" i="4" s="1"/>
  <c r="C57" i="4"/>
  <c r="D57" i="4" s="1"/>
  <c r="C58" i="4"/>
  <c r="D58" i="4" s="1"/>
  <c r="C59" i="4"/>
  <c r="D59" i="4" s="1"/>
  <c r="C24" i="4"/>
  <c r="D24" i="4" s="1"/>
  <c r="C25" i="4"/>
  <c r="D25" i="4" s="1"/>
  <c r="C26" i="4"/>
  <c r="D26" i="4" s="1"/>
  <c r="C27" i="4"/>
  <c r="D27" i="4" s="1"/>
  <c r="C28" i="4"/>
  <c r="D28" i="4" s="1"/>
  <c r="C29" i="4"/>
  <c r="D29" i="4" s="1"/>
  <c r="C30" i="4"/>
  <c r="D30" i="4" s="1"/>
  <c r="C31" i="4"/>
  <c r="D31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10" i="4"/>
  <c r="D10" i="4" s="1"/>
  <c r="C11" i="4"/>
  <c r="D11" i="4" s="1"/>
  <c r="C12" i="4"/>
  <c r="D12" i="4" s="1"/>
  <c r="C13" i="4"/>
  <c r="D13" i="4" s="1"/>
  <c r="C14" i="4"/>
  <c r="D14" i="4" s="1"/>
  <c r="C15" i="4"/>
  <c r="D15" i="4" s="1"/>
  <c r="C16" i="4"/>
  <c r="D16" i="4" s="1"/>
  <c r="C17" i="4"/>
  <c r="D17" i="4" s="1"/>
  <c r="C18" i="4"/>
  <c r="D18" i="4" s="1"/>
  <c r="C19" i="4"/>
  <c r="D19" i="4" s="1"/>
  <c r="C20" i="4"/>
  <c r="D20" i="4" s="1"/>
  <c r="C21" i="4"/>
  <c r="D21" i="4" s="1"/>
  <c r="C22" i="4"/>
  <c r="D22" i="4" s="1"/>
  <c r="C23" i="4"/>
  <c r="D23" i="4" s="1"/>
  <c r="C3" i="4"/>
  <c r="D3" i="4" s="1"/>
  <c r="C4" i="4"/>
  <c r="D4" i="4" s="1"/>
  <c r="C5" i="4"/>
  <c r="D5" i="4" s="1"/>
  <c r="C6" i="4"/>
  <c r="D6" i="4" s="1"/>
  <c r="C7" i="4"/>
  <c r="D7" i="4" s="1"/>
  <c r="C8" i="4"/>
  <c r="D8" i="4" s="1"/>
  <c r="C9" i="4"/>
  <c r="D9" i="4" s="1"/>
  <c r="C2" i="4"/>
  <c r="D2" i="4" s="1"/>
</calcChain>
</file>

<file path=xl/sharedStrings.xml><?xml version="1.0" encoding="utf-8"?>
<sst xmlns="http://schemas.openxmlformats.org/spreadsheetml/2006/main" count="9540" uniqueCount="565">
  <si>
    <t>ITEM NAME</t>
  </si>
  <si>
    <t>QUANTITY</t>
  </si>
  <si>
    <t>PRICE PER UNIT</t>
  </si>
  <si>
    <t xml:space="preserve">TOTAL COST </t>
  </si>
  <si>
    <t xml:space="preserve">samsung s24 ultra </t>
  </si>
  <si>
    <t xml:space="preserve">Google Pixel 8 pro </t>
  </si>
  <si>
    <t>Redmi note 10</t>
  </si>
  <si>
    <t>iphone 14</t>
  </si>
  <si>
    <t>February</t>
  </si>
  <si>
    <t xml:space="preserve">March </t>
  </si>
  <si>
    <t xml:space="preserve">Good </t>
  </si>
  <si>
    <t xml:space="preserve">MONTH </t>
  </si>
  <si>
    <t>SALES</t>
  </si>
  <si>
    <t>PERFORMANCE</t>
  </si>
  <si>
    <t>January</t>
  </si>
  <si>
    <t>Bad</t>
  </si>
  <si>
    <t xml:space="preserve">   MONTHLY SALES REPORT - Q1 2024 </t>
  </si>
  <si>
    <t>PRODUCTS</t>
  </si>
  <si>
    <t>Projector</t>
  </si>
  <si>
    <t xml:space="preserve">Laptop </t>
  </si>
  <si>
    <t>Air buds</t>
  </si>
  <si>
    <t>Head Phones</t>
  </si>
  <si>
    <t>S.NO</t>
  </si>
  <si>
    <t>NAME</t>
  </si>
  <si>
    <t>MARKS OUT OF 100</t>
  </si>
  <si>
    <t>GRADE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</si>
  <si>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</si>
  <si>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</si>
  <si>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</si>
  <si>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</si>
  <si>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</si>
  <si>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</si>
  <si>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</si>
  <si>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</si>
  <si>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</si>
  <si>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</si>
  <si>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</si>
  <si>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</si>
  <si>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</si>
  <si>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</si>
  <si>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</si>
  <si>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</si>
  <si>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</si>
  <si>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</si>
  <si>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</si>
  <si>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</si>
  <si>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</si>
  <si>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</si>
  <si>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</si>
  <si>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</si>
  <si>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</si>
  <si>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</si>
  <si>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</si>
  <si>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</si>
  <si>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</si>
  <si>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</si>
  <si>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</si>
  <si>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</si>
  <si>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</si>
  <si>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</si>
  <si>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</si>
  <si>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</si>
  <si>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</si>
  <si>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</si>
  <si>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</si>
  <si>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</si>
  <si>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</si>
  <si>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</si>
  <si>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</si>
  <si>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</si>
  <si>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</si>
  <si>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</si>
  <si>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</si>
  <si>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</si>
  <si>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</si>
  <si>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</si>
  <si>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</si>
  <si>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</si>
  <si>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</si>
  <si>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</si>
  <si>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</si>
  <si>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</si>
  <si>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</si>
  <si>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</si>
  <si>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</si>
  <si>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</si>
  <si>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</si>
  <si>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</si>
  <si>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</si>
  <si>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</si>
  <si>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</si>
  <si>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</si>
  <si>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</si>
  <si>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</si>
  <si>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</si>
  <si>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</si>
  <si>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</si>
  <si>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</si>
  <si>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</si>
  <si>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</si>
  <si>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</si>
  <si>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</si>
  <si>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</si>
  <si>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</si>
  <si>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</si>
  <si>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</si>
  <si>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</si>
  <si>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</si>
  <si>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</si>
  <si>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</si>
  <si>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</si>
  <si>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</si>
  <si>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</si>
  <si>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</si>
  <si>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</si>
  <si>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</si>
  <si>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</si>
  <si>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</si>
  <si>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</si>
  <si>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</si>
  <si>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</si>
  <si>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</si>
  <si>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</si>
  <si>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</si>
  <si>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</si>
  <si>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</si>
  <si>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r>
      <rPr>
        <b/>
        <sz val="11"/>
        <color theme="1"/>
        <rFont val="Calibri"/>
        <family val="2"/>
        <scheme val="minor"/>
      </rPr>
      <t>VALUE</t>
    </r>
    <r>
      <rPr>
        <sz val="11"/>
        <color theme="1"/>
        <rFont val="Calibri"/>
        <family val="2"/>
        <scheme val="minor"/>
      </rPr>
      <t xml:space="preserve"> </t>
    </r>
  </si>
  <si>
    <t>15% OF VALUE</t>
  </si>
  <si>
    <t xml:space="preserve"> </t>
  </si>
  <si>
    <t xml:space="preserve">STUDENT NAME </t>
  </si>
  <si>
    <t xml:space="preserve">DEPARTMENT </t>
  </si>
  <si>
    <r>
      <t xml:space="preserve">Sir Qasim 
</t>
    </r>
    <r>
      <rPr>
        <b/>
        <sz val="11"/>
        <color theme="1"/>
        <rFont val="Calibri"/>
        <family val="2"/>
        <scheme val="minor"/>
      </rPr>
      <t>Subject :</t>
    </r>
    <r>
      <rPr>
        <sz val="11"/>
        <color theme="1"/>
        <rFont val="Calibri"/>
        <family val="2"/>
        <scheme val="minor"/>
      </rPr>
      <t xml:space="preserve"> Request for GCR class code
Respected Sir ,
I hope you are doing well. I am student of CE 1 semester .I am writing to kindly request the GCR (Google Classroom) class code for our course. I need the code to join the class and access the course materials, assignments, and announcements.
Hania Usman
26P-6542
CE A1 </t>
    </r>
  </si>
  <si>
    <t>ROLL NO</t>
  </si>
  <si>
    <t xml:space="preserve">Anoosha </t>
  </si>
  <si>
    <t>Aleezay</t>
  </si>
  <si>
    <t>Dua</t>
  </si>
  <si>
    <t>Tadin</t>
  </si>
  <si>
    <t xml:space="preserve">Aiman </t>
  </si>
  <si>
    <t>CS</t>
  </si>
  <si>
    <t xml:space="preserve">AI </t>
  </si>
  <si>
    <t>CE</t>
  </si>
  <si>
    <t xml:space="preserve">MARKS </t>
  </si>
  <si>
    <t>A</t>
  </si>
  <si>
    <t>F</t>
  </si>
  <si>
    <t>B</t>
  </si>
  <si>
    <t>A+</t>
  </si>
  <si>
    <t>FEATURES APPLIED :</t>
  </si>
  <si>
    <r>
      <rPr>
        <b/>
        <sz val="11"/>
        <color theme="1"/>
        <rFont val="Calibri"/>
        <family val="2"/>
        <scheme val="minor"/>
      </rPr>
      <t xml:space="preserve">DATA VALIDATION :  </t>
    </r>
    <r>
      <rPr>
        <sz val="11"/>
        <color theme="1"/>
        <rFont val="Calibri"/>
        <family val="2"/>
        <scheme val="minor"/>
      </rPr>
      <t xml:space="preserve">Created a drop down list to allow only </t>
    </r>
  </si>
  <si>
    <t xml:space="preserve">predefined values in the starting colum  </t>
  </si>
  <si>
    <t>IT</t>
  </si>
  <si>
    <r>
      <rPr>
        <b/>
        <sz val="11"/>
        <color theme="1"/>
        <rFont val="Calibri"/>
        <family val="2"/>
        <scheme val="minor"/>
      </rPr>
      <t>CONDITIONAL FORMATTING :</t>
    </r>
    <r>
      <rPr>
        <sz val="11"/>
        <color theme="1"/>
        <rFont val="Calibri"/>
        <family val="2"/>
        <scheme val="minor"/>
      </rPr>
      <t>Highlites cell based on specific condition .</t>
    </r>
  </si>
  <si>
    <r>
      <t>TASK 7:</t>
    </r>
    <r>
      <rPr>
        <sz val="11"/>
        <color theme="1"/>
        <rFont val="Calibri"/>
        <family val="2"/>
        <scheme val="minor"/>
      </rPr>
      <t xml:space="preserve"> 26P-6542</t>
    </r>
  </si>
  <si>
    <r>
      <t xml:space="preserve">REMOVE DUPLICATE : </t>
    </r>
    <r>
      <rPr>
        <sz val="11"/>
        <color theme="1"/>
        <rFont val="Calibri"/>
        <family val="2"/>
        <scheme val="minor"/>
      </rPr>
      <t xml:space="preserve">use to identify and remove duplicates </t>
    </r>
  </si>
  <si>
    <t>House</t>
  </si>
  <si>
    <t>Flat</t>
  </si>
  <si>
    <t>Upper Portion</t>
  </si>
  <si>
    <t>Lower Portion</t>
  </si>
  <si>
    <t>Penthouse</t>
  </si>
  <si>
    <t>Farm House</t>
  </si>
  <si>
    <t>Room</t>
  </si>
  <si>
    <t>Cantt</t>
  </si>
  <si>
    <t>Karachi</t>
  </si>
  <si>
    <t>Sindh</t>
  </si>
  <si>
    <t>For Sale</t>
  </si>
  <si>
    <t>Adiala Road</t>
  </si>
  <si>
    <t>Rawalpindi</t>
  </si>
  <si>
    <t>Punjab</t>
  </si>
  <si>
    <t>For Rent</t>
  </si>
  <si>
    <t>G-10</t>
  </si>
  <si>
    <t>Islamabad</t>
  </si>
  <si>
    <t>Islamabad Capital</t>
  </si>
  <si>
    <t>Gulistan-e-Jauhar</t>
  </si>
  <si>
    <t>E-11</t>
  </si>
  <si>
    <t>Model Town</t>
  </si>
  <si>
    <t>Lahore</t>
  </si>
  <si>
    <t>G-15</t>
  </si>
  <si>
    <t>Humak</t>
  </si>
  <si>
    <t>DHA Defence</t>
  </si>
  <si>
    <t>Multan Road</t>
  </si>
  <si>
    <t>Westridge</t>
  </si>
  <si>
    <t>Bahria Town Rawalpindi</t>
  </si>
  <si>
    <t>Eden</t>
  </si>
  <si>
    <t>Gulberg</t>
  </si>
  <si>
    <t>Bani Gala</t>
  </si>
  <si>
    <t>Malir</t>
  </si>
  <si>
    <t>Allama Iqbal Town</t>
  </si>
  <si>
    <t>Gulshan Abad</t>
  </si>
  <si>
    <t>Gadap Town</t>
  </si>
  <si>
    <t>Chaklala Scheme</t>
  </si>
  <si>
    <t>Media Town</t>
  </si>
  <si>
    <t>Ghauri Town</t>
  </si>
  <si>
    <t>F-7</t>
  </si>
  <si>
    <t>Military Accounts Housing Society</t>
  </si>
  <si>
    <t>Korang Town</t>
  </si>
  <si>
    <t>EME Society</t>
  </si>
  <si>
    <t>Izmir Town</t>
  </si>
  <si>
    <t>Gulshan-e-Iqbal Town</t>
  </si>
  <si>
    <t>Upper Mall</t>
  </si>
  <si>
    <t>F-11</t>
  </si>
  <si>
    <t>Muslim Town</t>
  </si>
  <si>
    <t>Faisalabad</t>
  </si>
  <si>
    <t>Diplomatic Enclave</t>
  </si>
  <si>
    <t>Cavalry Ground</t>
  </si>
  <si>
    <t>F-6</t>
  </si>
  <si>
    <t>Bahria Town</t>
  </si>
  <si>
    <t>Federal B Area</t>
  </si>
  <si>
    <t>Askari</t>
  </si>
  <si>
    <t>Pakistan Town</t>
  </si>
  <si>
    <t>Bedian Road</t>
  </si>
  <si>
    <t>Agrics Town</t>
  </si>
  <si>
    <t>Bhara kahu</t>
  </si>
  <si>
    <t>Scheme 33</t>
  </si>
  <si>
    <t>Chandni Chowk</t>
  </si>
  <si>
    <t>Islamabad Expressway</t>
  </si>
  <si>
    <t>Chaman Park</t>
  </si>
  <si>
    <t>B-17</t>
  </si>
  <si>
    <t>Chungi Amar Sadhu</t>
  </si>
  <si>
    <t>PWD Housing Scheme</t>
  </si>
  <si>
    <t>Bath Island</t>
  </si>
  <si>
    <t>Millat Town</t>
  </si>
  <si>
    <t>Chakri Road</t>
  </si>
  <si>
    <t>G-11</t>
  </si>
  <si>
    <t>Garden Town</t>
  </si>
  <si>
    <t>GOR</t>
  </si>
  <si>
    <t>Raza Abad</t>
  </si>
  <si>
    <t>Askari 14</t>
  </si>
  <si>
    <t>Askari 13</t>
  </si>
  <si>
    <t>Askari 12</t>
  </si>
  <si>
    <t>Karim Park</t>
  </si>
  <si>
    <t>Abul Hassan Isphani Road</t>
  </si>
  <si>
    <t>Nazimabad</t>
  </si>
  <si>
    <t>Koral Town</t>
  </si>
  <si>
    <t>Soan Garden</t>
  </si>
  <si>
    <t>Blue Area</t>
  </si>
  <si>
    <t>Judicial Colony</t>
  </si>
  <si>
    <t>North Karachi</t>
  </si>
  <si>
    <t>Falcon Complex Faisal</t>
  </si>
  <si>
    <t>Valencia Housing Society</t>
  </si>
  <si>
    <t>Shahra-e-Faisal</t>
  </si>
  <si>
    <t>Gizri</t>
  </si>
  <si>
    <t>Satiana Road</t>
  </si>
  <si>
    <t>Askari 15</t>
  </si>
  <si>
    <t>Gulshan-e-Ravi</t>
  </si>
  <si>
    <t>Al-Raheem Garden</t>
  </si>
  <si>
    <t>Askari 10</t>
  </si>
  <si>
    <t>I-16</t>
  </si>
  <si>
    <t>Gulshan-e-Iqbal</t>
  </si>
  <si>
    <t>Saddar Town</t>
  </si>
  <si>
    <t>Mateen Avenue</t>
  </si>
  <si>
    <t>Chen One Road</t>
  </si>
  <si>
    <t>Shalley Valley</t>
  </si>
  <si>
    <t>Paragon City</t>
  </si>
  <si>
    <t>IEP Engineers Town</t>
  </si>
  <si>
    <t>G-8</t>
  </si>
  <si>
    <t>Askari 7</t>
  </si>
  <si>
    <t>E-7</t>
  </si>
  <si>
    <t>Emaar Canyon Views</t>
  </si>
  <si>
    <t>D-17</t>
  </si>
  <si>
    <t>Dhok Kashmirian</t>
  </si>
  <si>
    <t>Abdullahpur</t>
  </si>
  <si>
    <t>Architects Engineers Housing Society</t>
  </si>
  <si>
    <t>Navy Housing Scheme Karsaz</t>
  </si>
  <si>
    <t>F-10</t>
  </si>
  <si>
    <t>Jamshed Town</t>
  </si>
  <si>
    <t>G-13</t>
  </si>
  <si>
    <t>Askari 4</t>
  </si>
  <si>
    <t>Askari 1</t>
  </si>
  <si>
    <t>Askari 3</t>
  </si>
  <si>
    <t>Askari 2</t>
  </si>
  <si>
    <t>Samanabad</t>
  </si>
  <si>
    <t>Gulraiz Housing Scheme</t>
  </si>
  <si>
    <t>F-17</t>
  </si>
  <si>
    <t>Bahria Town Karachi</t>
  </si>
  <si>
    <t>I-12</t>
  </si>
  <si>
    <t>F-8</t>
  </si>
  <si>
    <t>Jinnah Avenue</t>
  </si>
  <si>
    <t>Airport Housing Society</t>
  </si>
  <si>
    <t>Mozang</t>
  </si>
  <si>
    <t>PAF Housing Scheme</t>
  </si>
  <si>
    <t>North Nazimabad</t>
  </si>
  <si>
    <t>Fazaia Colony</t>
  </si>
  <si>
    <t>Lalazar</t>
  </si>
  <si>
    <t>Clifton</t>
  </si>
  <si>
    <t>Sultan Pura</t>
  </si>
  <si>
    <t>Sabzazar Scheme</t>
  </si>
  <si>
    <t>Northern Bypass</t>
  </si>
  <si>
    <t>Fazaia Housing Scheme</t>
  </si>
  <si>
    <t>Askari 11</t>
  </si>
  <si>
    <t>T &amp; T Aabpara Housing Society</t>
  </si>
  <si>
    <t>Al Faisal Town</t>
  </si>
  <si>
    <t>I-11</t>
  </si>
  <si>
    <t>New Karachi</t>
  </si>
  <si>
    <t>New Lalazar</t>
  </si>
  <si>
    <t>Khalid Bin Walid Road</t>
  </si>
  <si>
    <t>Shaheed Millat Road</t>
  </si>
  <si>
    <t>National Police Foundation O-9</t>
  </si>
  <si>
    <t>Canal Garden</t>
  </si>
  <si>
    <t>Muslim Nagar Housing Scheme</t>
  </si>
  <si>
    <t>Johar Town</t>
  </si>
  <si>
    <t>Tricon Village</t>
  </si>
  <si>
    <t>Anda Mor Road</t>
  </si>
  <si>
    <t>PCSIR Housing Scheme</t>
  </si>
  <si>
    <t>Korang Road</t>
  </si>
  <si>
    <t>Pak Arab Housing Society</t>
  </si>
  <si>
    <t>Kuri Road</t>
  </si>
  <si>
    <t>Green Fort</t>
  </si>
  <si>
    <t>Wapda Town</t>
  </si>
  <si>
    <t>I-8</t>
  </si>
  <si>
    <t>State Life Housing Society</t>
  </si>
  <si>
    <t>Satellite Town</t>
  </si>
  <si>
    <t>Wahdat Road</t>
  </si>
  <si>
    <t>DHA 11 Rahbar</t>
  </si>
  <si>
    <t>Shershah Colony - Raiwind Road</t>
  </si>
  <si>
    <t>Al-Noor Colony</t>
  </si>
  <si>
    <t>Wapda City</t>
  </si>
  <si>
    <t>Chatha Bakhtawar</t>
  </si>
  <si>
    <t>Lyari Town</t>
  </si>
  <si>
    <t>Jaranwala Road</t>
  </si>
  <si>
    <t>Shah Allah Ditta</t>
  </si>
  <si>
    <t>GT Road</t>
  </si>
  <si>
    <t>Cricketer Villas</t>
  </si>
  <si>
    <t>Saddar</t>
  </si>
  <si>
    <t>Rehman Villas</t>
  </si>
  <si>
    <t>Defence View Society</t>
  </si>
  <si>
    <t>Affandi Colony</t>
  </si>
  <si>
    <t>G-7</t>
  </si>
  <si>
    <t>Sadiqabad</t>
  </si>
  <si>
    <t>Faisal Town</t>
  </si>
  <si>
    <t>Harbanspura Road</t>
  </si>
  <si>
    <t>Alfalah Town</t>
  </si>
  <si>
    <t>Punjab Govt Employees Society</t>
  </si>
  <si>
    <t>Tariq Road</t>
  </si>
  <si>
    <t>Ashiana-e-Quaid Housing Scheme</t>
  </si>
  <si>
    <t>P &amp; T Colony</t>
  </si>
  <si>
    <t>Sea View Apartments</t>
  </si>
  <si>
    <t>Misryal Road</t>
  </si>
  <si>
    <t>Baldia Town</t>
  </si>
  <si>
    <t>Shalimar Housing Scheme</t>
  </si>
  <si>
    <t>Garrison Homes</t>
  </si>
  <si>
    <t>Khayaban-e-Amin</t>
  </si>
  <si>
    <t>Paradise Valley</t>
  </si>
  <si>
    <t>Shahdara</t>
  </si>
  <si>
    <t>Iqbal Park</t>
  </si>
  <si>
    <t>Lehtarar Road</t>
  </si>
  <si>
    <t>G-9</t>
  </si>
  <si>
    <t>Zamzama</t>
  </si>
  <si>
    <t>Ghulam Mohammad Abad</t>
  </si>
  <si>
    <t>Liaquat Bagh</t>
  </si>
  <si>
    <t>E-14</t>
  </si>
  <si>
    <t>Karakoram Diplomatic Enclave</t>
  </si>
  <si>
    <t>Model Colony</t>
  </si>
  <si>
    <t>Khayaban-e-Sir Syed</t>
  </si>
  <si>
    <t>Mustafa Town</t>
  </si>
  <si>
    <t>Walton Road</t>
  </si>
  <si>
    <t>Gulshan-e-Usman Housing Society</t>
  </si>
  <si>
    <t>Liaquatabad</t>
  </si>
  <si>
    <t>Garden West</t>
  </si>
  <si>
    <t>New Super Town</t>
  </si>
  <si>
    <t>West Wood Housing Society</t>
  </si>
  <si>
    <t>Gulberg Town</t>
  </si>
  <si>
    <t>Usman Town</t>
  </si>
  <si>
    <t>Chapal Uptown</t>
  </si>
  <si>
    <t>Palm Villas</t>
  </si>
  <si>
    <t>Islampura</t>
  </si>
  <si>
    <t>Mansoorah</t>
  </si>
  <si>
    <t>Marghzar Officers Colony</t>
  </si>
  <si>
    <t>Mughalpura</t>
  </si>
  <si>
    <t>Gulbahar Scheme</t>
  </si>
  <si>
    <t>Saggian</t>
  </si>
  <si>
    <t>Rasool Park</t>
  </si>
  <si>
    <t>I-14</t>
  </si>
  <si>
    <t>Gulistan Colony</t>
  </si>
  <si>
    <t>Shoukat Town</t>
  </si>
  <si>
    <t>Al Hamra Town</t>
  </si>
  <si>
    <t>Badami Bagh</t>
  </si>
  <si>
    <t>Zulfiqar Colony</t>
  </si>
  <si>
    <t>Lahore Motorway City</t>
  </si>
  <si>
    <t>OPF Housing Scheme</t>
  </si>
  <si>
    <t>Dharampura</t>
  </si>
  <si>
    <t>Ferozepur Road</t>
  </si>
  <si>
    <t>Township</t>
  </si>
  <si>
    <t>Babu Sabu</t>
  </si>
  <si>
    <t>Al Kareem Garden</t>
  </si>
  <si>
    <t>Nawab Town</t>
  </si>
  <si>
    <t>Misri Shah</t>
  </si>
  <si>
    <t>Ayub Colony</t>
  </si>
  <si>
    <t>Tarlai</t>
  </si>
  <si>
    <t>Punjab Small Industries Colony</t>
  </si>
  <si>
    <t>Simly Dam Road</t>
  </si>
  <si>
    <t>Shalimar Link Road</t>
  </si>
  <si>
    <t>Airline Housing Society</t>
  </si>
  <si>
    <t>Peshawar Road</t>
  </si>
  <si>
    <t>Baloch Colony</t>
  </si>
  <si>
    <t>Airport Road</t>
  </si>
  <si>
    <t>I-9</t>
  </si>
  <si>
    <t>Ichhra</t>
  </si>
  <si>
    <t>Afshan Colony</t>
  </si>
  <si>
    <t>Kamahan Road</t>
  </si>
  <si>
    <t>Mehmood Booti</t>
  </si>
  <si>
    <t>Burma Town</t>
  </si>
  <si>
    <t>Ghous-e-Azam Road</t>
  </si>
  <si>
    <t>Kot Lakhpat</t>
  </si>
  <si>
    <t>Pakki Thatti</t>
  </si>
  <si>
    <t>High Court Road</t>
  </si>
  <si>
    <t>Canal View</t>
  </si>
  <si>
    <t>Girja Road</t>
  </si>
  <si>
    <t>Al-Hafiz Town</t>
  </si>
  <si>
    <t>Pir Naseer</t>
  </si>
  <si>
    <t>IBL Housing Scheme</t>
  </si>
  <si>
    <t>Naval Anchorage</t>
  </si>
  <si>
    <t>Islamabad Highway</t>
  </si>
  <si>
    <t>Gulshan-e-Lahore</t>
  </si>
  <si>
    <t>CBR Town</t>
  </si>
  <si>
    <t>Qadri Colony</t>
  </si>
  <si>
    <t>Audit &amp; Accounts Housing Society</t>
  </si>
  <si>
    <t>Madina Town</t>
  </si>
  <si>
    <t>Dhoke Banaras Road</t>
  </si>
  <si>
    <t>Manzoor Colony</t>
  </si>
  <si>
    <t>Tariq Gardens</t>
  </si>
  <si>
    <t>Gulshan-e-Rafique</t>
  </si>
  <si>
    <t>Hameedpura</t>
  </si>
  <si>
    <t>Aisha Manzil</t>
  </si>
  <si>
    <t>Empress Road</t>
  </si>
  <si>
    <t>Delhi Colony</t>
  </si>
  <si>
    <t>The Springs</t>
  </si>
  <si>
    <t>National Police Foundation</t>
  </si>
  <si>
    <t>PWD Colony</t>
  </si>
  <si>
    <t>Khayaban-e-Jinnah Road</t>
  </si>
  <si>
    <t>Ahmad Housing Society</t>
  </si>
  <si>
    <t>Airport</t>
  </si>
  <si>
    <t>Jamshed Road</t>
  </si>
  <si>
    <t>Jallo Park Road</t>
  </si>
  <si>
    <t>Green Cap Housing Society</t>
  </si>
  <si>
    <t>Bismillah Housing Scheme</t>
  </si>
  <si>
    <t>Rawat</t>
  </si>
  <si>
    <t>Fateh Garh</t>
  </si>
  <si>
    <t>Gulzar-e-Quaid Housing Society</t>
  </si>
  <si>
    <t>Raiwind Road</t>
  </si>
  <si>
    <t>Rachna Town</t>
  </si>
  <si>
    <t>Jhang Syedan</t>
  </si>
  <si>
    <t>Eden Valley</t>
  </si>
  <si>
    <t>Shams Abad</t>
  </si>
  <si>
    <t>Ghalib City</t>
  </si>
  <si>
    <t>Tulsa Road</t>
  </si>
  <si>
    <t>Sargodha Road</t>
  </si>
  <si>
    <t>Jubilee Town</t>
  </si>
  <si>
    <t>Park View Villas</t>
  </si>
  <si>
    <t>Range Road</t>
  </si>
  <si>
    <t>University Road</t>
  </si>
  <si>
    <t>Chibban</t>
  </si>
  <si>
    <t>Sant Nagar</t>
  </si>
  <si>
    <t>Samundari Road</t>
  </si>
  <si>
    <t>Al Rehman Garden</t>
  </si>
  <si>
    <t>Harbanspura</t>
  </si>
  <si>
    <t>Committee Chowk</t>
  </si>
  <si>
    <t>Arsalan Town</t>
  </si>
  <si>
    <t>Jaranwala</t>
  </si>
  <si>
    <t>Qazi Town</t>
  </si>
  <si>
    <t>Kashmir Highway</t>
  </si>
  <si>
    <t>Peoples Colony No 2</t>
  </si>
  <si>
    <t>Susan Road</t>
  </si>
  <si>
    <t>Ashraf Garden</t>
  </si>
  <si>
    <t>Shah Faisal Town</t>
  </si>
  <si>
    <t>Al-Kabir Town</t>
  </si>
  <si>
    <t>Nishat Colony</t>
  </si>
  <si>
    <t>Main Canal Bank Road</t>
  </si>
  <si>
    <t>Rail View Housing Society</t>
  </si>
  <si>
    <t>College Road</t>
  </si>
  <si>
    <t>I-10</t>
  </si>
  <si>
    <t>Aashiana Road</t>
  </si>
  <si>
    <t>Ali View Park</t>
  </si>
  <si>
    <t>Ali Town</t>
  </si>
  <si>
    <t>Divine Gardens</t>
  </si>
  <si>
    <t>Civil Lines</t>
  </si>
  <si>
    <t>Rail Town (Canal City)</t>
  </si>
  <si>
    <t>PWD Road</t>
  </si>
  <si>
    <t>Korangi</t>
  </si>
  <si>
    <t>Pir Sohawa</t>
  </si>
  <si>
    <t>Bahria Nasheman</t>
  </si>
  <si>
    <t>Shahzad Colony</t>
  </si>
  <si>
    <t>Hill Park</t>
  </si>
  <si>
    <t>Ghaziabad</t>
  </si>
  <si>
    <t>Shadbagh</t>
  </si>
  <si>
    <t>Hilal Road</t>
  </si>
  <si>
    <t>Kahna</t>
  </si>
  <si>
    <t>Yousaf Town</t>
  </si>
  <si>
    <t>Gulshan Park</t>
  </si>
  <si>
    <t>Jail Road</t>
  </si>
  <si>
    <t>Doctors Housing Society</t>
  </si>
  <si>
    <t>Gulbahar Colony</t>
  </si>
  <si>
    <t>Malir Link To Super Highway</t>
  </si>
  <si>
    <t>Lasani Town</t>
  </si>
  <si>
    <t>Taj Bagh Scheme</t>
  </si>
  <si>
    <t>Vital Homes Housing Scheme</t>
  </si>
  <si>
    <t>Bilal Gunj</t>
  </si>
  <si>
    <t>Narwala Road</t>
  </si>
  <si>
    <t>Motorway Chowk</t>
  </si>
  <si>
    <t>204 Chak Road</t>
  </si>
  <si>
    <t>Sarwar Road</t>
  </si>
  <si>
    <t>Ali Pur</t>
  </si>
  <si>
    <t>G. H. Q</t>
  </si>
  <si>
    <t>Mansoorabad</t>
  </si>
  <si>
    <t>Gohawa</t>
  </si>
  <si>
    <t>Canal Road</t>
  </si>
  <si>
    <t>FECHS</t>
  </si>
  <si>
    <t>Nemat Colony No 1</t>
  </si>
  <si>
    <t>Rehmanpura (Ferozpur Road)</t>
  </si>
  <si>
    <t>Shadipura</t>
  </si>
  <si>
    <t>Abid Town</t>
  </si>
  <si>
    <t>Gulshan e Madina</t>
  </si>
  <si>
    <t>Gulistan Colony No 1</t>
  </si>
  <si>
    <t>Swami Nagar</t>
  </si>
  <si>
    <t>Harley Street</t>
  </si>
  <si>
    <t>Khanna Pul</t>
  </si>
  <si>
    <t>Baghbanpura</t>
  </si>
  <si>
    <t>Falaknaz Presidency</t>
  </si>
  <si>
    <t>Shalimar Park</t>
  </si>
  <si>
    <t>Bin Qasim Town</t>
  </si>
  <si>
    <t>Nasheman-e-Iqbal</t>
  </si>
  <si>
    <t>Fazal Town</t>
  </si>
  <si>
    <t>Chakra</t>
  </si>
  <si>
    <t>Eden Orchard</t>
  </si>
  <si>
    <t>Lake City</t>
  </si>
  <si>
    <t>AWT Army Welfare Trust</t>
  </si>
  <si>
    <t>Eden Gardens</t>
  </si>
  <si>
    <t>Clifton Colony</t>
  </si>
  <si>
    <t>Shaheen Town</t>
  </si>
  <si>
    <t>Eden Villas</t>
  </si>
  <si>
    <t>Younas Town</t>
  </si>
  <si>
    <t>Jaranwala Town</t>
  </si>
  <si>
    <t>Sui Gas Housing Society</t>
  </si>
  <si>
    <t>Sangar Town</t>
  </si>
  <si>
    <t>Others</t>
  </si>
  <si>
    <t>Thokar Niaz Baig</t>
  </si>
  <si>
    <t>Ranchore Line Bazar</t>
  </si>
  <si>
    <t>Qasimabad</t>
  </si>
  <si>
    <t>Khayaban Colony</t>
  </si>
  <si>
    <t>Nisar Colony</t>
  </si>
  <si>
    <t>Lahore Medical Housing Society</t>
  </si>
  <si>
    <t>Nawaban Wala</t>
  </si>
  <si>
    <t>UBL Housing Society</t>
  </si>
  <si>
    <t>M. A. Jinnah Road</t>
  </si>
  <si>
    <t>Manawala</t>
  </si>
  <si>
    <t>Salli Town</t>
  </si>
  <si>
    <t>PIA Main Boulevard</t>
  </si>
  <si>
    <t>Abdalians Cooperative Housing Society</t>
  </si>
  <si>
    <t>Fareed Town</t>
  </si>
  <si>
    <t>Nishtar Colony</t>
  </si>
  <si>
    <t>Jhangi Syedan</t>
  </si>
  <si>
    <t>Shahra-e-Qaideen</t>
  </si>
  <si>
    <t>Super Highway</t>
  </si>
  <si>
    <t>Chak Shahzad</t>
  </si>
  <si>
    <t>H-13</t>
  </si>
  <si>
    <t>Bhatta Chowk</t>
  </si>
  <si>
    <t>Madina Colony</t>
  </si>
  <si>
    <t>Highcourt Society</t>
  </si>
  <si>
    <t xml:space="preserve">PRICE </t>
  </si>
  <si>
    <t xml:space="preserve">LOCATION </t>
  </si>
  <si>
    <t>CITY</t>
  </si>
  <si>
    <t xml:space="preserve">PROVINCE NAME </t>
  </si>
  <si>
    <t xml:space="preserve">PURPOSE </t>
  </si>
  <si>
    <t xml:space="preserve">STARS </t>
  </si>
  <si>
    <t>ISLAMABAD CAPITAL</t>
  </si>
  <si>
    <t>PUNJAB</t>
  </si>
  <si>
    <t>SINDH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</si>
</sst>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</font>
    <font>
      <sz val="11"/>
      <color rgb="FF9C0006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7C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7" xfId="0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/>
    <xf numFmtId="9" fontId="1" fillId="0" borderId="0" xfId="0" applyNumberFormat="1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4" fillId="0" borderId="10" xfId="0" applyFont="1" applyBorder="1" applyAlignment="1">
      <alignment horizontal="right" wrapText="1"/>
    </xf>
    <xf numFmtId="0" fontId="5" fillId="0" borderId="10" xfId="0" applyFont="1" applyBorder="1" applyAlignment="1">
      <alignment horizontal="right" wrapText="1"/>
    </xf>
    <xf numFmtId="0" fontId="5" fillId="0" borderId="10" xfId="0" applyFont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4" fillId="0" borderId="10" xfId="0" applyFont="1" applyBorder="1" applyAlignment="1">
      <alignment horizontal="center" wrapText="1"/>
    </xf>
    <xf numFmtId="14" fontId="4" fillId="0" borderId="10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47-449B-8153-AF5D2826A9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47-449B-8153-AF5D2826A9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47-449B-8153-AF5D2826A9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C47-449B-8153-AF5D2826A9C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Sheet3!$A$2:$A$5</c:f>
              <c:strCache>
                <c:ptCount val="4"/>
                <c:pt idx="0">
                  <c:v>Projector</c:v>
                </c:pt>
                <c:pt idx="1">
                  <c:v>Laptop </c:v>
                </c:pt>
                <c:pt idx="2">
                  <c:v>Air buds</c:v>
                </c:pt>
                <c:pt idx="3">
                  <c:v>Head Phones</c:v>
                </c:pt>
              </c:strCache>
            </c:strRef>
          </c:cat>
          <c:val>
            <c:numRef>
              <c:f>Sheet3!$B$2:$B$5</c:f>
              <c:numCache>
                <c:formatCode>General</c:formatCode>
                <c:ptCount val="4"/>
                <c:pt idx="0">
                  <c:v>50</c:v>
                </c:pt>
                <c:pt idx="1">
                  <c:v>65</c:v>
                </c:pt>
                <c:pt idx="2">
                  <c:v>40</c:v>
                </c:pt>
                <c:pt idx="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0-4121-BBA3-3BA5290F16A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6</xdr:row>
      <xdr:rowOff>76200</xdr:rowOff>
    </xdr:from>
    <xdr:to>
      <xdr:col>7</xdr:col>
      <xdr:colOff>190500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3</xdr:row>
      <xdr:rowOff>69850</xdr:rowOff>
    </xdr:from>
    <xdr:to>
      <xdr:col>10</xdr:col>
      <xdr:colOff>44451</xdr:colOff>
      <xdr:row>19</xdr:row>
      <xdr:rowOff>177800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1" y="622300"/>
          <a:ext cx="6115050" cy="313690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D5" totalsRowShown="0" headerRowDxfId="16" headerRowBorderDxfId="15" tableBorderDxfId="14" totalsRowBorderDxfId="13">
  <autoFilter ref="A1:D5"/>
  <tableColumns count="4">
    <tableColumn id="1" name="ITEM NAME" dataDxfId="12"/>
    <tableColumn id="2" name="QUANTITY" dataDxfId="11"/>
    <tableColumn id="3" name="PRICE PER UNIT"/>
    <tableColumn id="4" name="TOTAL COST " dataDxfId="10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C5" totalsRowShown="0">
  <autoFilter ref="A2:C5"/>
  <sortState ref="A3:C5">
    <sortCondition ref="B2:B5"/>
  </sortState>
  <tableColumns count="3">
    <tableColumn id="1" name="MONTH "/>
    <tableColumn id="2" name="SALES"/>
    <tableColumn id="3" name="PERFORMA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J2:N7" totalsRowShown="0" headerRowDxfId="6" dataDxfId="5">
  <autoFilter ref="J2:N7"/>
  <sortState ref="J3:N7">
    <sortCondition ref="M2:M7"/>
  </sortState>
  <tableColumns count="5">
    <tableColumn id="1" name="ROLL NO" dataDxfId="4"/>
    <tableColumn id="2" name="STUDENT NAME " dataDxfId="3"/>
    <tableColumn id="3" name="DEPARTMENT " dataDxfId="2"/>
    <tableColumn id="4" name="MARKS " dataDxfId="1"/>
    <tableColumn id="5" name="GRAD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"/>
  <sheetViews>
    <sheetView workbookViewId="0">
      <selection activeCell="E8" sqref="E8"/>
    </sheetView>
  </sheetViews>
  <sheetFormatPr defaultRowHeight="14.5"/>
  <cols>
    <col min="1" max="1" width="16.7265625" customWidth="1"/>
    <col min="2" max="2" width="15.26953125" customWidth="1"/>
    <col min="3" max="3" width="19.36328125" customWidth="1"/>
    <col min="4" max="4" width="16.08984375" customWidth="1"/>
  </cols>
  <sheetData>
    <row r="1" spans="1:4">
      <c r="A1" s="4" t="s">
        <v>0</v>
      </c>
      <c r="B1" s="5" t="s">
        <v>1</v>
      </c>
      <c r="C1" s="6" t="s">
        <v>2</v>
      </c>
      <c r="D1" s="7" t="s">
        <v>3</v>
      </c>
    </row>
    <row r="2" spans="1:4">
      <c r="A2" s="2" t="s">
        <v>6</v>
      </c>
      <c r="B2" s="16">
        <v>3</v>
      </c>
      <c r="C2" s="18">
        <v>30099</v>
      </c>
      <c r="D2" s="19">
        <v>90297</v>
      </c>
    </row>
    <row r="3" spans="1:4">
      <c r="A3" s="2" t="s">
        <v>5</v>
      </c>
      <c r="B3" s="16">
        <v>2</v>
      </c>
      <c r="C3" s="18">
        <v>132000</v>
      </c>
      <c r="D3" s="19">
        <v>264000</v>
      </c>
    </row>
    <row r="4" spans="1:4">
      <c r="A4" s="2" t="s">
        <v>7</v>
      </c>
      <c r="B4" s="16">
        <v>2</v>
      </c>
      <c r="C4" s="16">
        <v>183999</v>
      </c>
      <c r="D4" s="19">
        <v>367998</v>
      </c>
    </row>
    <row r="5" spans="1:4">
      <c r="A5" s="3" t="s">
        <v>4</v>
      </c>
      <c r="B5" s="17">
        <v>1</v>
      </c>
      <c r="C5" s="17">
        <v>329999</v>
      </c>
      <c r="D5" s="20">
        <v>329999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"/>
  <sheetViews>
    <sheetView workbookViewId="0">
      <selection sqref="A1:C1"/>
    </sheetView>
  </sheetViews>
  <sheetFormatPr defaultRowHeight="14.5"/>
  <cols>
    <col min="1" max="2" width="11.36328125" customWidth="1"/>
    <col min="3" max="3" width="15.6328125" customWidth="1"/>
    <col min="7" max="7" width="10.26953125" customWidth="1"/>
  </cols>
  <sheetData>
    <row r="1" spans="1:3">
      <c r="A1" s="37" t="s">
        <v>16</v>
      </c>
      <c r="B1" s="37"/>
      <c r="C1" s="37"/>
    </row>
    <row r="2" spans="1:3">
      <c r="A2" s="11" t="s">
        <v>11</v>
      </c>
      <c r="B2" s="12" t="s">
        <v>12</v>
      </c>
      <c r="C2" s="11" t="s">
        <v>13</v>
      </c>
    </row>
    <row r="3" spans="1:3">
      <c r="A3" s="15" t="s">
        <v>9</v>
      </c>
      <c r="B3" s="15">
        <v>45</v>
      </c>
      <c r="C3" s="15" t="s">
        <v>15</v>
      </c>
    </row>
    <row r="4" spans="1:3">
      <c r="A4" s="14" t="s">
        <v>14</v>
      </c>
      <c r="B4" s="14">
        <v>50</v>
      </c>
      <c r="C4" s="14" t="s">
        <v>15</v>
      </c>
    </row>
    <row r="5" spans="1:3">
      <c r="A5" s="15" t="s">
        <v>8</v>
      </c>
      <c r="B5" s="15">
        <v>180</v>
      </c>
      <c r="C5" s="15" t="s">
        <v>10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"/>
  <sheetViews>
    <sheetView workbookViewId="0">
      <selection activeCell="I3" sqref="I3"/>
    </sheetView>
  </sheetViews>
  <sheetFormatPr defaultRowHeight="14.5"/>
  <cols>
    <col min="1" max="1" width="12.453125" customWidth="1"/>
  </cols>
  <sheetData>
    <row r="1" spans="1:2">
      <c r="A1" s="1" t="s">
        <v>17</v>
      </c>
      <c r="B1" s="8" t="s">
        <v>12</v>
      </c>
    </row>
    <row r="2" spans="1:2">
      <c r="A2" t="s">
        <v>18</v>
      </c>
      <c r="B2">
        <v>50</v>
      </c>
    </row>
    <row r="3" spans="1:2">
      <c r="A3" t="s">
        <v>19</v>
      </c>
      <c r="B3">
        <v>65</v>
      </c>
    </row>
    <row r="4" spans="1:2">
      <c r="A4" t="s">
        <v>20</v>
      </c>
      <c r="B4">
        <v>40</v>
      </c>
    </row>
    <row r="5" spans="1:2">
      <c r="A5" t="s">
        <v>21</v>
      </c>
      <c r="B5">
        <v>200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1"/>
  <sheetViews>
    <sheetView workbookViewId="0">
      <selection activeCell="D22" sqref="D22"/>
    </sheetView>
  </sheetViews>
  <sheetFormatPr defaultRowHeight="14.5"/>
  <cols>
    <col min="1" max="1" width="8.7265625" style="10"/>
    <col min="2" max="2" width="11.7265625" style="9" customWidth="1"/>
    <col min="3" max="3" width="21.54296875" style="9" customWidth="1"/>
    <col min="4" max="4" width="8.7265625" style="9"/>
  </cols>
  <sheetData>
    <row r="1" spans="1:4">
      <c r="A1" s="21" t="s">
        <v>22</v>
      </c>
      <c r="B1" s="22" t="s">
        <v>23</v>
      </c>
      <c r="C1" s="22" t="s">
        <v>24</v>
      </c>
      <c r="D1" s="22" t="s">
        <v>25</v>
      </c>
    </row>
    <row r="2" spans="1:4">
      <c r="A2" s="10">
        <v>1</v>
      </c>
      <c r="B2" s="9" t="s">
        <v>26</v>
      </c>
      <c r="C2" s="9">
        <f ca="1">RANDBETWEEN(0,100)</f>
        <v>60</v>
      </c>
      <c r="D2" s="9" t="str">
        <f ca="1">IF(C2&gt;=80,"A",IF(C2&gt;=70,"B",IF(C2&gt;=60,"C","D")))</f>
        <v>C</v>
      </c>
    </row>
    <row r="3" spans="1:4">
      <c r="A3" s="10">
        <v>2</v>
      </c>
      <c r="B3" s="9" t="s">
        <v>27</v>
      </c>
      <c r="C3" s="9">
        <f t="shared" ref="C3:C59" ca="1" si="0">RANDBETWEEN(0,100)</f>
        <v>52</v>
      </c>
      <c r="D3" s="9" t="str">
        <f t="shared" ref="D3:D66" ca="1" si="1">IF(C3&gt;=80,"A",IF(C3&gt;=70,"B",IF(C3&gt;=60,"C","D")))</f>
        <v>D</v>
      </c>
    </row>
    <row r="4" spans="1:4">
      <c r="A4" s="10">
        <v>3</v>
      </c>
      <c r="B4" s="9" t="s">
        <v>28</v>
      </c>
      <c r="C4" s="9">
        <f t="shared" ca="1" si="0"/>
        <v>78</v>
      </c>
      <c r="D4" s="9" t="str">
        <f t="shared" ca="1" si="1"/>
        <v>B</v>
      </c>
    </row>
    <row r="5" spans="1:4">
      <c r="A5" s="10">
        <v>4</v>
      </c>
      <c r="B5" s="9" t="s">
        <v>29</v>
      </c>
      <c r="C5" s="9">
        <f t="shared" ca="1" si="0"/>
        <v>39</v>
      </c>
      <c r="D5" s="9" t="str">
        <f t="shared" ca="1" si="1"/>
        <v>D</v>
      </c>
    </row>
    <row r="6" spans="1:4">
      <c r="A6" s="10">
        <v>5</v>
      </c>
      <c r="B6" s="9" t="s">
        <v>30</v>
      </c>
      <c r="C6" s="9">
        <f t="shared" ca="1" si="0"/>
        <v>39</v>
      </c>
      <c r="D6" s="9" t="str">
        <f t="shared" ca="1" si="1"/>
        <v>D</v>
      </c>
    </row>
    <row r="7" spans="1:4">
      <c r="A7" s="10">
        <v>6</v>
      </c>
      <c r="B7" s="9" t="s">
        <v>31</v>
      </c>
      <c r="C7" s="9">
        <f t="shared" ca="1" si="0"/>
        <v>73</v>
      </c>
      <c r="D7" s="9" t="str">
        <f t="shared" ca="1" si="1"/>
        <v>B</v>
      </c>
    </row>
    <row r="8" spans="1:4">
      <c r="A8" s="10">
        <v>7</v>
      </c>
      <c r="B8" s="9" t="s">
        <v>32</v>
      </c>
      <c r="C8" s="9">
        <f t="shared" ca="1" si="0"/>
        <v>97</v>
      </c>
      <c r="D8" s="9" t="str">
        <f t="shared" ca="1" si="1"/>
        <v>A</v>
      </c>
    </row>
    <row r="9" spans="1:4">
      <c r="A9" s="10">
        <v>8</v>
      </c>
      <c r="B9" s="9" t="s">
        <v>33</v>
      </c>
      <c r="C9" s="9">
        <f t="shared" ca="1" si="0"/>
        <v>93</v>
      </c>
      <c r="D9" s="9" t="str">
        <f t="shared" ca="1" si="1"/>
        <v>A</v>
      </c>
    </row>
    <row r="10" spans="1:4">
      <c r="A10" s="10">
        <v>9</v>
      </c>
      <c r="B10" s="9" t="s">
        <v>34</v>
      </c>
      <c r="C10" s="9">
        <f t="shared" ca="1" si="0"/>
        <v>61</v>
      </c>
      <c r="D10" s="9" t="str">
        <f t="shared" ca="1" si="1"/>
        <v>C</v>
      </c>
    </row>
    <row r="11" spans="1:4">
      <c r="A11" s="10">
        <v>10</v>
      </c>
      <c r="B11" s="9" t="s">
        <v>35</v>
      </c>
      <c r="C11" s="9">
        <f t="shared" ca="1" si="0"/>
        <v>58</v>
      </c>
      <c r="D11" s="9" t="str">
        <f t="shared" ca="1" si="1"/>
        <v>D</v>
      </c>
    </row>
    <row r="12" spans="1:4">
      <c r="A12" s="10">
        <v>11</v>
      </c>
      <c r="B12" s="9" t="s">
        <v>36</v>
      </c>
      <c r="C12" s="9">
        <f t="shared" ca="1" si="0"/>
        <v>53</v>
      </c>
      <c r="D12" s="9" t="str">
        <f t="shared" ca="1" si="1"/>
        <v>D</v>
      </c>
    </row>
    <row r="13" spans="1:4">
      <c r="A13" s="10">
        <v>12</v>
      </c>
      <c r="B13" s="9" t="s">
        <v>37</v>
      </c>
      <c r="C13" s="9">
        <f t="shared" ca="1" si="0"/>
        <v>43</v>
      </c>
      <c r="D13" s="9" t="str">
        <f t="shared" ca="1" si="1"/>
        <v>D</v>
      </c>
    </row>
    <row r="14" spans="1:4">
      <c r="A14" s="10">
        <v>13</v>
      </c>
      <c r="B14" s="9" t="s">
        <v>38</v>
      </c>
      <c r="C14" s="9">
        <f t="shared" ca="1" si="0"/>
        <v>7</v>
      </c>
      <c r="D14" s="9" t="str">
        <f t="shared" ca="1" si="1"/>
        <v>D</v>
      </c>
    </row>
    <row r="15" spans="1:4">
      <c r="A15" s="10">
        <v>14</v>
      </c>
      <c r="B15" s="9" t="s">
        <v>39</v>
      </c>
      <c r="C15" s="9">
        <f t="shared" ca="1" si="0"/>
        <v>12</v>
      </c>
      <c r="D15" s="9" t="str">
        <f t="shared" ca="1" si="1"/>
        <v>D</v>
      </c>
    </row>
    <row r="16" spans="1:4">
      <c r="A16" s="10">
        <v>15</v>
      </c>
      <c r="B16" s="9" t="s">
        <v>40</v>
      </c>
      <c r="C16" s="9">
        <f t="shared" ca="1" si="0"/>
        <v>53</v>
      </c>
      <c r="D16" s="9" t="str">
        <f t="shared" ca="1" si="1"/>
        <v>D</v>
      </c>
    </row>
    <row r="17" spans="1:4">
      <c r="A17" s="10">
        <v>16</v>
      </c>
      <c r="B17" s="9" t="s">
        <v>41</v>
      </c>
      <c r="C17" s="9">
        <f t="shared" ca="1" si="0"/>
        <v>59</v>
      </c>
      <c r="D17" s="9" t="str">
        <f t="shared" ca="1" si="1"/>
        <v>D</v>
      </c>
    </row>
    <row r="18" spans="1:4">
      <c r="A18" s="10">
        <v>17</v>
      </c>
      <c r="B18" s="9" t="s">
        <v>42</v>
      </c>
      <c r="C18" s="9">
        <f t="shared" ca="1" si="0"/>
        <v>56</v>
      </c>
      <c r="D18" s="9" t="str">
        <f t="shared" ca="1" si="1"/>
        <v>D</v>
      </c>
    </row>
    <row r="19" spans="1:4">
      <c r="A19" s="10">
        <v>18</v>
      </c>
      <c r="B19" s="9" t="s">
        <v>43</v>
      </c>
      <c r="C19" s="9">
        <f t="shared" ca="1" si="0"/>
        <v>46</v>
      </c>
      <c r="D19" s="9" t="str">
        <f t="shared" ca="1" si="1"/>
        <v>D</v>
      </c>
    </row>
    <row r="20" spans="1:4">
      <c r="A20" s="10">
        <v>19</v>
      </c>
      <c r="B20" s="9" t="s">
        <v>44</v>
      </c>
      <c r="C20" s="9">
        <f t="shared" ca="1" si="0"/>
        <v>18</v>
      </c>
      <c r="D20" s="9" t="str">
        <f t="shared" ca="1" si="1"/>
        <v>D</v>
      </c>
    </row>
    <row r="21" spans="1:4">
      <c r="A21" s="10">
        <v>20</v>
      </c>
      <c r="B21" s="9" t="s">
        <v>45</v>
      </c>
      <c r="C21" s="9">
        <f t="shared" ca="1" si="0"/>
        <v>87</v>
      </c>
      <c r="D21" s="9" t="str">
        <f t="shared" ca="1" si="1"/>
        <v>A</v>
      </c>
    </row>
    <row r="22" spans="1:4">
      <c r="A22" s="10">
        <v>21</v>
      </c>
      <c r="B22" s="9" t="s">
        <v>46</v>
      </c>
      <c r="C22" s="9">
        <f t="shared" ca="1" si="0"/>
        <v>6</v>
      </c>
      <c r="D22" s="9" t="str">
        <f t="shared" ca="1" si="1"/>
        <v>D</v>
      </c>
    </row>
    <row r="23" spans="1:4">
      <c r="A23" s="10">
        <v>22</v>
      </c>
      <c r="B23" s="9" t="s">
        <v>47</v>
      </c>
      <c r="C23" s="9">
        <f t="shared" ca="1" si="0"/>
        <v>76</v>
      </c>
      <c r="D23" s="9" t="str">
        <f t="shared" ca="1" si="1"/>
        <v>B</v>
      </c>
    </row>
    <row r="24" spans="1:4">
      <c r="A24" s="10">
        <v>23</v>
      </c>
      <c r="B24" s="9" t="s">
        <v>48</v>
      </c>
      <c r="C24" s="9">
        <f ca="1">RANDBETWEEN(0,100)</f>
        <v>50</v>
      </c>
      <c r="D24" s="9" t="str">
        <f t="shared" ca="1" si="1"/>
        <v>D</v>
      </c>
    </row>
    <row r="25" spans="1:4">
      <c r="A25" s="10">
        <v>24</v>
      </c>
      <c r="B25" s="9" t="s">
        <v>49</v>
      </c>
      <c r="C25" s="9">
        <f t="shared" ca="1" si="0"/>
        <v>42</v>
      </c>
      <c r="D25" s="9" t="str">
        <f t="shared" ca="1" si="1"/>
        <v>D</v>
      </c>
    </row>
    <row r="26" spans="1:4">
      <c r="A26" s="10">
        <v>25</v>
      </c>
      <c r="B26" s="9" t="s">
        <v>50</v>
      </c>
      <c r="C26" s="9">
        <f t="shared" ca="1" si="0"/>
        <v>92</v>
      </c>
      <c r="D26" s="9" t="str">
        <f t="shared" ca="1" si="1"/>
        <v>A</v>
      </c>
    </row>
    <row r="27" spans="1:4">
      <c r="A27" s="10">
        <v>26</v>
      </c>
      <c r="B27" s="9" t="s">
        <v>51</v>
      </c>
      <c r="C27" s="9">
        <f t="shared" ca="1" si="0"/>
        <v>65</v>
      </c>
      <c r="D27" s="9" t="str">
        <f t="shared" ca="1" si="1"/>
        <v>C</v>
      </c>
    </row>
    <row r="28" spans="1:4">
      <c r="A28" s="10">
        <v>27</v>
      </c>
      <c r="B28" s="9" t="s">
        <v>52</v>
      </c>
      <c r="C28" s="9">
        <f t="shared" ca="1" si="0"/>
        <v>72</v>
      </c>
      <c r="D28" s="9" t="str">
        <f t="shared" ca="1" si="1"/>
        <v>B</v>
      </c>
    </row>
    <row r="29" spans="1:4">
      <c r="A29" s="10">
        <v>28</v>
      </c>
      <c r="B29" s="9" t="s">
        <v>53</v>
      </c>
      <c r="C29" s="9">
        <f t="shared" ca="1" si="0"/>
        <v>25</v>
      </c>
      <c r="D29" s="9" t="str">
        <f t="shared" ca="1" si="1"/>
        <v>D</v>
      </c>
    </row>
    <row r="30" spans="1:4">
      <c r="A30" s="10">
        <v>29</v>
      </c>
      <c r="B30" s="9" t="s">
        <v>54</v>
      </c>
      <c r="C30" s="9">
        <f t="shared" ca="1" si="0"/>
        <v>16</v>
      </c>
      <c r="D30" s="9" t="str">
        <f t="shared" ca="1" si="1"/>
        <v>D</v>
      </c>
    </row>
    <row r="31" spans="1:4">
      <c r="A31" s="10">
        <v>30</v>
      </c>
      <c r="B31" s="9" t="s">
        <v>55</v>
      </c>
      <c r="C31" s="9">
        <f t="shared" ca="1" si="0"/>
        <v>26</v>
      </c>
      <c r="D31" s="9" t="str">
        <f t="shared" ca="1" si="1"/>
        <v>D</v>
      </c>
    </row>
    <row r="32" spans="1:4">
      <c r="A32" s="10">
        <v>31</v>
      </c>
      <c r="B32" s="9" t="s">
        <v>56</v>
      </c>
      <c r="C32" s="9">
        <f t="shared" ca="1" si="0"/>
        <v>17</v>
      </c>
      <c r="D32" s="9" t="str">
        <f t="shared" ca="1" si="1"/>
        <v>D</v>
      </c>
    </row>
    <row r="33" spans="1:4">
      <c r="A33" s="10">
        <v>32</v>
      </c>
      <c r="B33" s="9" t="s">
        <v>57</v>
      </c>
      <c r="C33" s="9">
        <f t="shared" ca="1" si="0"/>
        <v>59</v>
      </c>
      <c r="D33" s="9" t="str">
        <f t="shared" ca="1" si="1"/>
        <v>D</v>
      </c>
    </row>
    <row r="34" spans="1:4">
      <c r="A34" s="10">
        <v>33</v>
      </c>
      <c r="B34" s="9" t="s">
        <v>58</v>
      </c>
      <c r="C34" s="9">
        <f t="shared" ca="1" si="0"/>
        <v>82</v>
      </c>
      <c r="D34" s="9" t="str">
        <f t="shared" ca="1" si="1"/>
        <v>A</v>
      </c>
    </row>
    <row r="35" spans="1:4">
      <c r="A35" s="10">
        <v>34</v>
      </c>
      <c r="B35" s="9" t="s">
        <v>59</v>
      </c>
      <c r="C35" s="9">
        <f t="shared" ca="1" si="0"/>
        <v>81</v>
      </c>
      <c r="D35" s="9" t="str">
        <f t="shared" ca="1" si="1"/>
        <v>A</v>
      </c>
    </row>
    <row r="36" spans="1:4">
      <c r="A36" s="10">
        <v>35</v>
      </c>
      <c r="B36" s="9" t="s">
        <v>60</v>
      </c>
      <c r="C36" s="9">
        <f t="shared" ca="1" si="0"/>
        <v>11</v>
      </c>
      <c r="D36" s="9" t="str">
        <f t="shared" ca="1" si="1"/>
        <v>D</v>
      </c>
    </row>
    <row r="37" spans="1:4">
      <c r="A37" s="10">
        <v>36</v>
      </c>
      <c r="B37" s="9" t="s">
        <v>61</v>
      </c>
      <c r="C37" s="9">
        <f t="shared" ca="1" si="0"/>
        <v>11</v>
      </c>
      <c r="D37" s="9" t="str">
        <f t="shared" ca="1" si="1"/>
        <v>D</v>
      </c>
    </row>
    <row r="38" spans="1:4">
      <c r="A38" s="10">
        <v>37</v>
      </c>
      <c r="B38" s="9" t="s">
        <v>62</v>
      </c>
      <c r="C38" s="9">
        <f t="shared" ca="1" si="0"/>
        <v>38</v>
      </c>
      <c r="D38" s="9" t="str">
        <f t="shared" ca="1" si="1"/>
        <v>D</v>
      </c>
    </row>
    <row r="39" spans="1:4">
      <c r="A39" s="10">
        <v>38</v>
      </c>
      <c r="B39" s="9" t="s">
        <v>63</v>
      </c>
      <c r="C39" s="9">
        <f t="shared" ca="1" si="0"/>
        <v>65</v>
      </c>
      <c r="D39" s="9" t="str">
        <f t="shared" ca="1" si="1"/>
        <v>C</v>
      </c>
    </row>
    <row r="40" spans="1:4">
      <c r="A40" s="10">
        <v>39</v>
      </c>
      <c r="B40" s="9" t="s">
        <v>64</v>
      </c>
      <c r="C40" s="9">
        <f t="shared" ca="1" si="0"/>
        <v>70</v>
      </c>
      <c r="D40" s="9" t="str">
        <f t="shared" ca="1" si="1"/>
        <v>B</v>
      </c>
    </row>
    <row r="41" spans="1:4">
      <c r="A41" s="10">
        <v>40</v>
      </c>
      <c r="B41" s="9" t="s">
        <v>65</v>
      </c>
      <c r="C41" s="9">
        <f t="shared" ca="1" si="0"/>
        <v>17</v>
      </c>
      <c r="D41" s="9" t="str">
        <f t="shared" ca="1" si="1"/>
        <v>D</v>
      </c>
    </row>
    <row r="42" spans="1:4">
      <c r="A42" s="10">
        <v>41</v>
      </c>
      <c r="B42" s="9" t="s">
        <v>66</v>
      </c>
      <c r="C42" s="9">
        <f t="shared" ca="1" si="0"/>
        <v>36</v>
      </c>
      <c r="D42" s="9" t="str">
        <f t="shared" ca="1" si="1"/>
        <v>D</v>
      </c>
    </row>
    <row r="43" spans="1:4">
      <c r="A43" s="10">
        <v>42</v>
      </c>
      <c r="B43" s="9" t="s">
        <v>67</v>
      </c>
      <c r="C43" s="9">
        <f t="shared" ca="1" si="0"/>
        <v>47</v>
      </c>
      <c r="D43" s="9" t="str">
        <f t="shared" ca="1" si="1"/>
        <v>D</v>
      </c>
    </row>
    <row r="44" spans="1:4">
      <c r="A44" s="10">
        <v>43</v>
      </c>
      <c r="B44" s="9" t="s">
        <v>68</v>
      </c>
      <c r="C44" s="9">
        <f t="shared" ca="1" si="0"/>
        <v>8</v>
      </c>
      <c r="D44" s="9" t="str">
        <f t="shared" ca="1" si="1"/>
        <v>D</v>
      </c>
    </row>
    <row r="45" spans="1:4">
      <c r="A45" s="10">
        <v>44</v>
      </c>
      <c r="B45" s="9" t="s">
        <v>69</v>
      </c>
      <c r="C45" s="9">
        <f t="shared" ca="1" si="0"/>
        <v>79</v>
      </c>
      <c r="D45" s="9" t="str">
        <f t="shared" ca="1" si="1"/>
        <v>B</v>
      </c>
    </row>
    <row r="46" spans="1:4">
      <c r="A46" s="10">
        <v>45</v>
      </c>
      <c r="B46" s="9" t="s">
        <v>70</v>
      </c>
      <c r="C46" s="9">
        <f t="shared" ca="1" si="0"/>
        <v>43</v>
      </c>
      <c r="D46" s="9" t="str">
        <f t="shared" ca="1" si="1"/>
        <v>D</v>
      </c>
    </row>
    <row r="47" spans="1:4">
      <c r="A47" s="10">
        <v>46</v>
      </c>
      <c r="B47" s="9" t="s">
        <v>71</v>
      </c>
      <c r="C47" s="9">
        <f t="shared" ca="1" si="0"/>
        <v>32</v>
      </c>
      <c r="D47" s="9" t="str">
        <f t="shared" ca="1" si="1"/>
        <v>D</v>
      </c>
    </row>
    <row r="48" spans="1:4">
      <c r="A48" s="10">
        <v>47</v>
      </c>
      <c r="B48" s="9" t="s">
        <v>72</v>
      </c>
      <c r="C48" s="9">
        <f t="shared" ca="1" si="0"/>
        <v>19</v>
      </c>
      <c r="D48" s="9" t="str">
        <f t="shared" ca="1" si="1"/>
        <v>D</v>
      </c>
    </row>
    <row r="49" spans="1:4">
      <c r="A49" s="10">
        <v>48</v>
      </c>
      <c r="B49" s="9" t="s">
        <v>73</v>
      </c>
      <c r="C49" s="9">
        <f t="shared" ca="1" si="0"/>
        <v>86</v>
      </c>
      <c r="D49" s="9" t="str">
        <f t="shared" ca="1" si="1"/>
        <v>A</v>
      </c>
    </row>
    <row r="50" spans="1:4">
      <c r="A50" s="10">
        <v>49</v>
      </c>
      <c r="B50" s="9" t="s">
        <v>74</v>
      </c>
      <c r="C50" s="9">
        <f t="shared" ca="1" si="0"/>
        <v>32</v>
      </c>
      <c r="D50" s="9" t="str">
        <f t="shared" ca="1" si="1"/>
        <v>D</v>
      </c>
    </row>
    <row r="51" spans="1:4">
      <c r="A51" s="10">
        <v>50</v>
      </c>
      <c r="B51" s="9" t="s">
        <v>75</v>
      </c>
      <c r="C51" s="9">
        <f t="shared" ca="1" si="0"/>
        <v>10</v>
      </c>
      <c r="D51" s="9" t="str">
        <f t="shared" ca="1" si="1"/>
        <v>D</v>
      </c>
    </row>
    <row r="52" spans="1:4">
      <c r="A52" s="10">
        <v>51</v>
      </c>
      <c r="B52" s="9" t="s">
        <v>76</v>
      </c>
      <c r="C52" s="9">
        <f t="shared" ca="1" si="0"/>
        <v>66</v>
      </c>
      <c r="D52" s="9" t="str">
        <f t="shared" ca="1" si="1"/>
        <v>C</v>
      </c>
    </row>
    <row r="53" spans="1:4">
      <c r="A53" s="10">
        <v>52</v>
      </c>
      <c r="B53" s="9" t="s">
        <v>77</v>
      </c>
      <c r="C53" s="9">
        <f t="shared" ca="1" si="0"/>
        <v>72</v>
      </c>
      <c r="D53" s="9" t="str">
        <f t="shared" ca="1" si="1"/>
        <v>B</v>
      </c>
    </row>
    <row r="54" spans="1:4">
      <c r="A54" s="10">
        <v>53</v>
      </c>
      <c r="B54" s="9" t="s">
        <v>78</v>
      </c>
      <c r="C54" s="9">
        <f t="shared" ca="1" si="0"/>
        <v>43</v>
      </c>
      <c r="D54" s="9" t="str">
        <f t="shared" ca="1" si="1"/>
        <v>D</v>
      </c>
    </row>
    <row r="55" spans="1:4">
      <c r="A55" s="10">
        <v>54</v>
      </c>
      <c r="B55" s="9" t="s">
        <v>79</v>
      </c>
      <c r="C55" s="9">
        <f t="shared" ca="1" si="0"/>
        <v>50</v>
      </c>
      <c r="D55" s="9" t="str">
        <f t="shared" ca="1" si="1"/>
        <v>D</v>
      </c>
    </row>
    <row r="56" spans="1:4">
      <c r="A56" s="10">
        <v>55</v>
      </c>
      <c r="B56" s="9" t="s">
        <v>80</v>
      </c>
      <c r="C56" s="9">
        <f t="shared" ca="1" si="0"/>
        <v>89</v>
      </c>
      <c r="D56" s="9" t="str">
        <f t="shared" ca="1" si="1"/>
        <v>A</v>
      </c>
    </row>
    <row r="57" spans="1:4">
      <c r="A57" s="10">
        <v>56</v>
      </c>
      <c r="B57" s="9" t="s">
        <v>81</v>
      </c>
      <c r="C57" s="9">
        <f t="shared" ca="1" si="0"/>
        <v>0</v>
      </c>
      <c r="D57" s="9" t="str">
        <f t="shared" ca="1" si="1"/>
        <v>D</v>
      </c>
    </row>
    <row r="58" spans="1:4">
      <c r="A58" s="10">
        <v>57</v>
      </c>
      <c r="B58" s="9" t="s">
        <v>82</v>
      </c>
      <c r="C58" s="9">
        <f t="shared" ca="1" si="0"/>
        <v>92</v>
      </c>
      <c r="D58" s="9" t="str">
        <f t="shared" ca="1" si="1"/>
        <v>A</v>
      </c>
    </row>
    <row r="59" spans="1:4">
      <c r="A59" s="10">
        <v>58</v>
      </c>
      <c r="B59" s="9" t="s">
        <v>83</v>
      </c>
      <c r="C59" s="9">
        <f t="shared" ca="1" si="0"/>
        <v>85</v>
      </c>
      <c r="D59" s="9" t="str">
        <f t="shared" ca="1" si="1"/>
        <v>A</v>
      </c>
    </row>
    <row r="60" spans="1:4">
      <c r="A60" s="10">
        <v>59</v>
      </c>
      <c r="B60" s="9" t="s">
        <v>84</v>
      </c>
      <c r="C60" s="9">
        <f ca="1">RANDBETWEEN(0,100)</f>
        <v>34</v>
      </c>
      <c r="D60" s="9" t="str">
        <f t="shared" ca="1" si="1"/>
        <v>D</v>
      </c>
    </row>
    <row r="61" spans="1:4">
      <c r="A61" s="10">
        <v>60</v>
      </c>
      <c r="B61" s="9" t="s">
        <v>85</v>
      </c>
      <c r="C61" s="9">
        <f t="shared" ref="C61:C101" ca="1" si="2">RANDBETWEEN(0,100)</f>
        <v>82</v>
      </c>
      <c r="D61" s="9" t="str">
        <f t="shared" ca="1" si="1"/>
        <v>A</v>
      </c>
    </row>
    <row r="62" spans="1:4">
      <c r="A62" s="10">
        <v>61</v>
      </c>
      <c r="B62" s="9" t="s">
        <v>86</v>
      </c>
      <c r="C62" s="9">
        <f t="shared" ca="1" si="2"/>
        <v>94</v>
      </c>
      <c r="D62" s="9" t="str">
        <f t="shared" ca="1" si="1"/>
        <v>A</v>
      </c>
    </row>
    <row r="63" spans="1:4">
      <c r="A63" s="10">
        <v>62</v>
      </c>
      <c r="B63" s="9" t="s">
        <v>87</v>
      </c>
      <c r="C63" s="9">
        <f t="shared" ca="1" si="2"/>
        <v>53</v>
      </c>
      <c r="D63" s="9" t="str">
        <f t="shared" ca="1" si="1"/>
        <v>D</v>
      </c>
    </row>
    <row r="64" spans="1:4">
      <c r="A64" s="10">
        <v>63</v>
      </c>
      <c r="B64" s="9" t="s">
        <v>88</v>
      </c>
      <c r="C64" s="9">
        <f t="shared" ca="1" si="2"/>
        <v>15</v>
      </c>
      <c r="D64" s="9" t="str">
        <f t="shared" ca="1" si="1"/>
        <v>D</v>
      </c>
    </row>
    <row r="65" spans="1:4">
      <c r="A65" s="10">
        <v>64</v>
      </c>
      <c r="B65" s="9" t="s">
        <v>89</v>
      </c>
      <c r="C65" s="9">
        <f t="shared" ca="1" si="2"/>
        <v>5</v>
      </c>
      <c r="D65" s="9" t="str">
        <f t="shared" ca="1" si="1"/>
        <v>D</v>
      </c>
    </row>
    <row r="66" spans="1:4">
      <c r="A66" s="10">
        <v>65</v>
      </c>
      <c r="B66" s="9" t="s">
        <v>90</v>
      </c>
      <c r="C66" s="9">
        <f t="shared" ca="1" si="2"/>
        <v>19</v>
      </c>
      <c r="D66" s="9" t="str">
        <f t="shared" ca="1" si="1"/>
        <v>D</v>
      </c>
    </row>
    <row r="67" spans="1:4">
      <c r="A67" s="10">
        <v>66</v>
      </c>
      <c r="B67" s="9" t="s">
        <v>91</v>
      </c>
      <c r="C67" s="9">
        <f t="shared" ca="1" si="2"/>
        <v>8</v>
      </c>
      <c r="D67" s="9" t="str">
        <f t="shared" ref="D67:D101" ca="1" si="3">IF(C67&gt;=80,"A",IF(C67&gt;=70,"B",IF(C67&gt;=60,"C","D")))</f>
        <v>D</v>
      </c>
    </row>
    <row r="68" spans="1:4">
      <c r="A68" s="10">
        <v>67</v>
      </c>
      <c r="B68" s="9" t="s">
        <v>92</v>
      </c>
      <c r="C68" s="9">
        <f t="shared" ca="1" si="2"/>
        <v>85</v>
      </c>
      <c r="D68" s="9" t="str">
        <f t="shared" ca="1" si="3"/>
        <v>A</v>
      </c>
    </row>
    <row r="69" spans="1:4">
      <c r="A69" s="10">
        <v>68</v>
      </c>
      <c r="B69" s="9" t="s">
        <v>93</v>
      </c>
      <c r="C69" s="9">
        <f t="shared" ca="1" si="2"/>
        <v>98</v>
      </c>
      <c r="D69" s="9" t="str">
        <f t="shared" ca="1" si="3"/>
        <v>A</v>
      </c>
    </row>
    <row r="70" spans="1:4">
      <c r="A70" s="10">
        <v>69</v>
      </c>
      <c r="B70" s="9" t="s">
        <v>94</v>
      </c>
      <c r="C70" s="9">
        <f t="shared" ca="1" si="2"/>
        <v>56</v>
      </c>
      <c r="D70" s="9" t="str">
        <f t="shared" ca="1" si="3"/>
        <v>D</v>
      </c>
    </row>
    <row r="71" spans="1:4">
      <c r="A71" s="10">
        <v>70</v>
      </c>
      <c r="B71" s="9" t="s">
        <v>95</v>
      </c>
      <c r="C71" s="9">
        <f t="shared" ca="1" si="2"/>
        <v>49</v>
      </c>
      <c r="D71" s="9" t="str">
        <f t="shared" ca="1" si="3"/>
        <v>D</v>
      </c>
    </row>
    <row r="72" spans="1:4">
      <c r="A72" s="10">
        <v>71</v>
      </c>
      <c r="B72" s="9" t="s">
        <v>96</v>
      </c>
      <c r="C72" s="9">
        <f t="shared" ca="1" si="2"/>
        <v>89</v>
      </c>
      <c r="D72" s="9" t="str">
        <f t="shared" ca="1" si="3"/>
        <v>A</v>
      </c>
    </row>
    <row r="73" spans="1:4">
      <c r="A73" s="10">
        <v>72</v>
      </c>
      <c r="B73" s="9" t="s">
        <v>97</v>
      </c>
      <c r="C73" s="9">
        <f t="shared" ca="1" si="2"/>
        <v>58</v>
      </c>
      <c r="D73" s="9" t="str">
        <f t="shared" ca="1" si="3"/>
        <v>D</v>
      </c>
    </row>
    <row r="74" spans="1:4">
      <c r="A74" s="10">
        <v>73</v>
      </c>
      <c r="B74" s="9" t="s">
        <v>98</v>
      </c>
      <c r="C74" s="9">
        <f t="shared" ca="1" si="2"/>
        <v>44</v>
      </c>
      <c r="D74" s="9" t="str">
        <f t="shared" ca="1" si="3"/>
        <v>D</v>
      </c>
    </row>
    <row r="75" spans="1:4">
      <c r="A75" s="10">
        <v>74</v>
      </c>
      <c r="B75" s="9" t="s">
        <v>99</v>
      </c>
      <c r="C75" s="9">
        <f t="shared" ca="1" si="2"/>
        <v>15</v>
      </c>
      <c r="D75" s="9" t="str">
        <f t="shared" ca="1" si="3"/>
        <v>D</v>
      </c>
    </row>
    <row r="76" spans="1:4">
      <c r="A76" s="10">
        <v>75</v>
      </c>
      <c r="B76" s="9" t="s">
        <v>100</v>
      </c>
      <c r="C76" s="9">
        <f t="shared" ca="1" si="2"/>
        <v>100</v>
      </c>
      <c r="D76" s="9" t="str">
        <f t="shared" ca="1" si="3"/>
        <v>A</v>
      </c>
    </row>
    <row r="77" spans="1:4">
      <c r="A77" s="10">
        <v>76</v>
      </c>
      <c r="B77" s="9" t="s">
        <v>101</v>
      </c>
      <c r="C77" s="9">
        <f t="shared" ca="1" si="2"/>
        <v>78</v>
      </c>
      <c r="D77" s="9" t="str">
        <f t="shared" ca="1" si="3"/>
        <v>B</v>
      </c>
    </row>
    <row r="78" spans="1:4">
      <c r="A78" s="10">
        <v>77</v>
      </c>
      <c r="B78" s="9" t="s">
        <v>102</v>
      </c>
      <c r="C78" s="9">
        <f t="shared" ca="1" si="2"/>
        <v>56</v>
      </c>
      <c r="D78" s="9" t="str">
        <f t="shared" ca="1" si="3"/>
        <v>D</v>
      </c>
    </row>
    <row r="79" spans="1:4">
      <c r="A79" s="10">
        <v>78</v>
      </c>
      <c r="B79" s="9" t="s">
        <v>103</v>
      </c>
      <c r="C79" s="9">
        <f t="shared" ca="1" si="2"/>
        <v>70</v>
      </c>
      <c r="D79" s="9" t="str">
        <f t="shared" ca="1" si="3"/>
        <v>B</v>
      </c>
    </row>
    <row r="80" spans="1:4">
      <c r="A80" s="10">
        <v>79</v>
      </c>
      <c r="B80" s="9" t="s">
        <v>104</v>
      </c>
      <c r="C80" s="9">
        <f ca="1">RANDBETWEEN(0,100)</f>
        <v>12</v>
      </c>
      <c r="D80" s="9" t="str">
        <f t="shared" ca="1" si="3"/>
        <v>D</v>
      </c>
    </row>
    <row r="81" spans="1:4">
      <c r="A81" s="10">
        <v>80</v>
      </c>
      <c r="B81" s="9" t="s">
        <v>105</v>
      </c>
      <c r="C81" s="9">
        <f t="shared" ca="1" si="2"/>
        <v>18</v>
      </c>
      <c r="D81" s="9" t="str">
        <f t="shared" ca="1" si="3"/>
        <v>D</v>
      </c>
    </row>
    <row r="82" spans="1:4">
      <c r="A82" s="10">
        <v>81</v>
      </c>
      <c r="B82" s="9" t="s">
        <v>106</v>
      </c>
      <c r="C82" s="9">
        <f t="shared" ca="1" si="2"/>
        <v>14</v>
      </c>
      <c r="D82" s="9" t="str">
        <f t="shared" ca="1" si="3"/>
        <v>D</v>
      </c>
    </row>
    <row r="83" spans="1:4">
      <c r="A83" s="10">
        <v>82</v>
      </c>
      <c r="B83" s="9" t="s">
        <v>107</v>
      </c>
      <c r="C83" s="9">
        <f t="shared" ca="1" si="2"/>
        <v>78</v>
      </c>
      <c r="D83" s="9" t="str">
        <f t="shared" ca="1" si="3"/>
        <v>B</v>
      </c>
    </row>
    <row r="84" spans="1:4">
      <c r="A84" s="10">
        <v>83</v>
      </c>
      <c r="B84" s="9" t="s">
        <v>108</v>
      </c>
      <c r="C84" s="9">
        <f t="shared" ca="1" si="2"/>
        <v>17</v>
      </c>
      <c r="D84" s="9" t="str">
        <f t="shared" ca="1" si="3"/>
        <v>D</v>
      </c>
    </row>
    <row r="85" spans="1:4">
      <c r="A85" s="10">
        <v>84</v>
      </c>
      <c r="B85" s="9" t="s">
        <v>109</v>
      </c>
      <c r="C85" s="9">
        <f t="shared" ca="1" si="2"/>
        <v>82</v>
      </c>
      <c r="D85" s="9" t="str">
        <f t="shared" ca="1" si="3"/>
        <v>A</v>
      </c>
    </row>
    <row r="86" spans="1:4">
      <c r="A86" s="10">
        <v>85</v>
      </c>
      <c r="B86" s="9" t="s">
        <v>110</v>
      </c>
      <c r="C86" s="9">
        <f t="shared" ca="1" si="2"/>
        <v>32</v>
      </c>
      <c r="D86" s="9" t="str">
        <f t="shared" ca="1" si="3"/>
        <v>D</v>
      </c>
    </row>
    <row r="87" spans="1:4">
      <c r="A87" s="10">
        <v>86</v>
      </c>
      <c r="B87" s="9" t="s">
        <v>111</v>
      </c>
      <c r="C87" s="9">
        <f t="shared" ca="1" si="2"/>
        <v>100</v>
      </c>
      <c r="D87" s="9" t="str">
        <f t="shared" ca="1" si="3"/>
        <v>A</v>
      </c>
    </row>
    <row r="88" spans="1:4">
      <c r="A88" s="10">
        <v>87</v>
      </c>
      <c r="B88" s="9" t="s">
        <v>112</v>
      </c>
      <c r="C88" s="9">
        <f t="shared" ca="1" si="2"/>
        <v>20</v>
      </c>
      <c r="D88" s="9" t="str">
        <f t="shared" ca="1" si="3"/>
        <v>D</v>
      </c>
    </row>
    <row r="89" spans="1:4">
      <c r="A89" s="10">
        <v>88</v>
      </c>
      <c r="B89" s="9" t="s">
        <v>113</v>
      </c>
      <c r="C89" s="9">
        <f t="shared" ca="1" si="2"/>
        <v>0</v>
      </c>
      <c r="D89" s="9" t="str">
        <f t="shared" ca="1" si="3"/>
        <v>D</v>
      </c>
    </row>
    <row r="90" spans="1:4">
      <c r="A90" s="10">
        <v>89</v>
      </c>
      <c r="B90" s="9" t="s">
        <v>114</v>
      </c>
      <c r="C90" s="9">
        <f t="shared" ca="1" si="2"/>
        <v>80</v>
      </c>
      <c r="D90" s="9" t="str">
        <f t="shared" ca="1" si="3"/>
        <v>A</v>
      </c>
    </row>
    <row r="91" spans="1:4">
      <c r="A91" s="10">
        <v>90</v>
      </c>
      <c r="B91" s="9" t="s">
        <v>115</v>
      </c>
      <c r="C91" s="9">
        <f t="shared" ca="1" si="2"/>
        <v>27</v>
      </c>
      <c r="D91" s="9" t="str">
        <f t="shared" ca="1" si="3"/>
        <v>D</v>
      </c>
    </row>
    <row r="92" spans="1:4">
      <c r="A92" s="10">
        <v>91</v>
      </c>
      <c r="B92" s="9" t="s">
        <v>116</v>
      </c>
      <c r="C92" s="9">
        <f t="shared" ca="1" si="2"/>
        <v>87</v>
      </c>
      <c r="D92" s="9" t="str">
        <f t="shared" ca="1" si="3"/>
        <v>A</v>
      </c>
    </row>
    <row r="93" spans="1:4">
      <c r="A93" s="10">
        <v>92</v>
      </c>
      <c r="B93" s="9" t="s">
        <v>117</v>
      </c>
      <c r="C93" s="9">
        <f t="shared" ca="1" si="2"/>
        <v>49</v>
      </c>
      <c r="D93" s="9" t="str">
        <f t="shared" ca="1" si="3"/>
        <v>D</v>
      </c>
    </row>
    <row r="94" spans="1:4">
      <c r="A94" s="10">
        <v>93</v>
      </c>
      <c r="B94" s="9" t="s">
        <v>118</v>
      </c>
      <c r="C94" s="9">
        <f t="shared" ca="1" si="2"/>
        <v>14</v>
      </c>
      <c r="D94" s="9" t="str">
        <f t="shared" ca="1" si="3"/>
        <v>D</v>
      </c>
    </row>
    <row r="95" spans="1:4">
      <c r="A95" s="10">
        <v>94</v>
      </c>
      <c r="B95" s="9" t="s">
        <v>119</v>
      </c>
      <c r="C95" s="9">
        <f t="shared" ca="1" si="2"/>
        <v>32</v>
      </c>
      <c r="D95" s="9" t="str">
        <f t="shared" ca="1" si="3"/>
        <v>D</v>
      </c>
    </row>
    <row r="96" spans="1:4">
      <c r="A96" s="10">
        <v>95</v>
      </c>
      <c r="B96" s="9" t="s">
        <v>120</v>
      </c>
      <c r="C96" s="9">
        <f t="shared" ca="1" si="2"/>
        <v>11</v>
      </c>
      <c r="D96" s="9" t="str">
        <f t="shared" ca="1" si="3"/>
        <v>D</v>
      </c>
    </row>
    <row r="97" spans="1:4">
      <c r="A97" s="10">
        <v>96</v>
      </c>
      <c r="B97" s="9" t="s">
        <v>121</v>
      </c>
      <c r="C97" s="9">
        <f ca="1">RANDBETWEEN(0,100)</f>
        <v>98</v>
      </c>
      <c r="D97" s="9" t="str">
        <f t="shared" ca="1" si="3"/>
        <v>A</v>
      </c>
    </row>
    <row r="98" spans="1:4">
      <c r="A98" s="10">
        <v>97</v>
      </c>
      <c r="B98" s="9" t="s">
        <v>122</v>
      </c>
      <c r="C98" s="9">
        <f t="shared" ca="1" si="2"/>
        <v>51</v>
      </c>
      <c r="D98" s="9" t="str">
        <f t="shared" ca="1" si="3"/>
        <v>D</v>
      </c>
    </row>
    <row r="99" spans="1:4">
      <c r="A99" s="10">
        <v>98</v>
      </c>
      <c r="B99" s="9" t="s">
        <v>123</v>
      </c>
      <c r="C99" s="9">
        <f t="shared" ca="1" si="2"/>
        <v>15</v>
      </c>
      <c r="D99" s="9" t="str">
        <f t="shared" ca="1" si="3"/>
        <v>D</v>
      </c>
    </row>
    <row r="100" spans="1:4">
      <c r="A100" s="10">
        <v>99</v>
      </c>
      <c r="B100" s="9" t="s">
        <v>124</v>
      </c>
      <c r="C100" s="9">
        <f t="shared" ca="1" si="2"/>
        <v>77</v>
      </c>
      <c r="D100" s="9" t="str">
        <f t="shared" ca="1" si="3"/>
        <v>B</v>
      </c>
    </row>
    <row r="101" spans="1:4">
      <c r="A101" s="10">
        <v>100</v>
      </c>
      <c r="B101" s="9" t="s">
        <v>125</v>
      </c>
      <c r="C101" s="9">
        <f t="shared" ca="1" si="2"/>
        <v>25</v>
      </c>
      <c r="D101" s="9" t="str">
        <f t="shared" ca="1" si="3"/>
        <v>D</v>
      </c>
    </row>
  </sheetData>
  <conditionalFormatting sqref="D1:D1048576">
    <cfRule type="containsText" dxfId="9" priority="1" operator="containsText" text="d">
      <formula>NOT(ISERROR(SEARCH("d",D1)))</formula>
    </cfRule>
  </conditionalFormatting>
  <pageMargins left="0.7" right="0.7" top="0.75" bottom="0.75" header="0.3" footer="0.3"/>
  <pageSetup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>
      <selection activeCell="D1" sqref="D1"/>
    </sheetView>
  </sheetViews>
  <sheetFormatPr defaultRowHeight="14.5"/>
  <cols>
    <col min="1" max="1" width="8.7265625" style="9"/>
    <col min="2" max="2" width="16.453125" style="9" customWidth="1"/>
    <col min="3" max="3" width="15.81640625" style="9" customWidth="1"/>
    <col min="4" max="4" width="13" customWidth="1"/>
  </cols>
  <sheetData>
    <row r="1" spans="1:4">
      <c r="A1" s="26" t="s">
        <v>22</v>
      </c>
      <c r="B1" s="16" t="s">
        <v>126</v>
      </c>
      <c r="C1" s="26" t="s">
        <v>127</v>
      </c>
      <c r="D1" s="25">
        <v>0.15</v>
      </c>
    </row>
    <row r="2" spans="1:4">
      <c r="A2" s="16">
        <v>1</v>
      </c>
      <c r="B2" s="16">
        <v>100</v>
      </c>
      <c r="C2" s="16">
        <f>B2*$D$1</f>
        <v>15</v>
      </c>
      <c r="D2" s="24"/>
    </row>
    <row r="3" spans="1:4">
      <c r="A3" s="16">
        <v>2</v>
      </c>
      <c r="B3" s="16">
        <v>200</v>
      </c>
      <c r="C3" s="16">
        <f t="shared" ref="C3:C6" si="0">B3*$D$1</f>
        <v>30</v>
      </c>
    </row>
    <row r="4" spans="1:4">
      <c r="A4" s="16">
        <v>3</v>
      </c>
      <c r="B4" s="16">
        <v>300</v>
      </c>
      <c r="C4" s="16">
        <f t="shared" si="0"/>
        <v>45</v>
      </c>
    </row>
    <row r="5" spans="1:4">
      <c r="A5" s="16">
        <v>4</v>
      </c>
      <c r="B5" s="16">
        <v>400</v>
      </c>
      <c r="C5" s="16">
        <f t="shared" si="0"/>
        <v>60</v>
      </c>
    </row>
    <row r="6" spans="1:4">
      <c r="A6" s="16">
        <v>5</v>
      </c>
      <c r="B6" s="16">
        <v>500</v>
      </c>
      <c r="C6" s="16">
        <f t="shared" si="0"/>
        <v>75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C4"/>
  <sheetViews>
    <sheetView topLeftCell="A2" workbookViewId="0">
      <selection activeCell="Q7" sqref="Q7"/>
    </sheetView>
  </sheetViews>
  <sheetFormatPr defaultRowHeight="14.5"/>
  <sheetData>
    <row r="4" spans="2:3" ht="21">
      <c r="B4" s="13"/>
      <c r="C4" s="27" t="s">
        <v>128</v>
      </c>
    </row>
  </sheetData>
  <pageMargins left="0.7" right="0.7" top="0.75" bottom="0.75" header="0.3" footer="0.3"/>
  <pageSetup scale="9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1"/>
  <sheetViews>
    <sheetView topLeftCell="C1" zoomScale="87" workbookViewId="0">
      <selection activeCell="P2" sqref="P2"/>
    </sheetView>
  </sheetViews>
  <sheetFormatPr defaultRowHeight="14.5"/>
  <cols>
    <col min="10" max="10" width="12.54296875" style="9" customWidth="1"/>
    <col min="11" max="11" width="19.54296875" style="9" customWidth="1"/>
    <col min="12" max="12" width="16.453125" style="9" customWidth="1"/>
    <col min="13" max="13" width="11.1796875" style="9" customWidth="1"/>
    <col min="14" max="14" width="12.90625" style="9" customWidth="1"/>
    <col min="16" max="16" width="56.54296875" customWidth="1"/>
  </cols>
  <sheetData>
    <row r="1" spans="1:16" ht="14.5" customHeight="1">
      <c r="A1" s="38" t="s">
        <v>131</v>
      </c>
      <c r="B1" s="39"/>
      <c r="C1" s="39"/>
      <c r="D1" s="39"/>
      <c r="E1" s="39"/>
      <c r="F1" s="39"/>
      <c r="G1" s="39"/>
      <c r="H1" s="39"/>
    </row>
    <row r="2" spans="1:16">
      <c r="A2" s="39"/>
      <c r="B2" s="39"/>
      <c r="C2" s="39"/>
      <c r="D2" s="39"/>
      <c r="E2" s="39"/>
      <c r="F2" s="39"/>
      <c r="G2" s="39"/>
      <c r="H2" s="39"/>
      <c r="J2" s="23" t="s">
        <v>132</v>
      </c>
      <c r="K2" s="23" t="s">
        <v>129</v>
      </c>
      <c r="L2" s="23" t="s">
        <v>130</v>
      </c>
      <c r="M2" s="23" t="s">
        <v>141</v>
      </c>
      <c r="N2" s="23" t="s">
        <v>25</v>
      </c>
      <c r="P2" s="1" t="s">
        <v>146</v>
      </c>
    </row>
    <row r="3" spans="1:16">
      <c r="A3" s="39"/>
      <c r="B3" s="39"/>
      <c r="C3" s="39"/>
      <c r="D3" s="39"/>
      <c r="E3" s="39"/>
      <c r="F3" s="39"/>
      <c r="G3" s="39"/>
      <c r="H3" s="39"/>
      <c r="J3" s="9">
        <v>1005</v>
      </c>
      <c r="K3" s="30" t="s">
        <v>137</v>
      </c>
      <c r="L3" s="9" t="s">
        <v>140</v>
      </c>
      <c r="M3" s="9">
        <v>43</v>
      </c>
      <c r="N3" s="9" t="s">
        <v>143</v>
      </c>
      <c r="P3" t="s">
        <v>147</v>
      </c>
    </row>
    <row r="4" spans="1:16">
      <c r="A4" s="39"/>
      <c r="B4" s="39"/>
      <c r="C4" s="39"/>
      <c r="D4" s="39"/>
      <c r="E4" s="39"/>
      <c r="F4" s="39"/>
      <c r="G4" s="39"/>
      <c r="H4" s="39"/>
      <c r="I4" s="10"/>
      <c r="J4" s="9">
        <v>1002</v>
      </c>
      <c r="K4" s="9" t="s">
        <v>134</v>
      </c>
      <c r="L4" s="9" t="s">
        <v>149</v>
      </c>
      <c r="M4" s="9">
        <v>45</v>
      </c>
      <c r="N4" s="9" t="s">
        <v>143</v>
      </c>
      <c r="P4" t="s">
        <v>148</v>
      </c>
    </row>
    <row r="5" spans="1:16">
      <c r="A5" s="39"/>
      <c r="B5" s="39"/>
      <c r="C5" s="39"/>
      <c r="D5" s="39"/>
      <c r="E5" s="39"/>
      <c r="F5" s="39"/>
      <c r="G5" s="39"/>
      <c r="H5" s="39"/>
      <c r="J5" s="9">
        <v>1003</v>
      </c>
      <c r="K5" s="9" t="s">
        <v>135</v>
      </c>
      <c r="L5" s="9" t="s">
        <v>139</v>
      </c>
      <c r="M5" s="9">
        <v>68</v>
      </c>
      <c r="N5" s="9" t="s">
        <v>144</v>
      </c>
      <c r="P5" s="1" t="s">
        <v>152</v>
      </c>
    </row>
    <row r="6" spans="1:16">
      <c r="A6" s="39"/>
      <c r="B6" s="39"/>
      <c r="C6" s="39"/>
      <c r="D6" s="39"/>
      <c r="E6" s="39"/>
      <c r="F6" s="39"/>
      <c r="G6" s="39"/>
      <c r="H6" s="39"/>
      <c r="J6" s="9">
        <v>1001</v>
      </c>
      <c r="K6" s="9" t="s">
        <v>133</v>
      </c>
      <c r="L6" s="9" t="s">
        <v>138</v>
      </c>
      <c r="M6" s="9">
        <v>82</v>
      </c>
      <c r="N6" s="9" t="s">
        <v>142</v>
      </c>
      <c r="P6" t="s">
        <v>150</v>
      </c>
    </row>
    <row r="7" spans="1:16">
      <c r="A7" s="39"/>
      <c r="B7" s="39"/>
      <c r="C7" s="39"/>
      <c r="D7" s="39"/>
      <c r="E7" s="39"/>
      <c r="F7" s="39"/>
      <c r="G7" s="39"/>
      <c r="H7" s="39"/>
      <c r="J7" s="9">
        <v>1004</v>
      </c>
      <c r="K7" s="9" t="s">
        <v>136</v>
      </c>
      <c r="L7" s="9" t="s">
        <v>140</v>
      </c>
      <c r="M7" s="9">
        <v>88</v>
      </c>
      <c r="N7" s="9" t="s">
        <v>145</v>
      </c>
    </row>
    <row r="8" spans="1:16">
      <c r="A8" s="39"/>
      <c r="B8" s="39"/>
      <c r="C8" s="39"/>
      <c r="D8" s="39"/>
      <c r="E8" s="39"/>
      <c r="F8" s="39"/>
      <c r="G8" s="39"/>
      <c r="H8" s="39"/>
    </row>
    <row r="9" spans="1:16">
      <c r="A9" s="39"/>
      <c r="B9" s="39"/>
      <c r="C9" s="39"/>
      <c r="D9" s="39"/>
      <c r="E9" s="39"/>
      <c r="F9" s="39"/>
      <c r="G9" s="39"/>
      <c r="H9" s="39"/>
      <c r="J9" s="23"/>
    </row>
    <row r="10" spans="1:16">
      <c r="A10" s="39"/>
      <c r="B10" s="39"/>
      <c r="C10" s="39"/>
      <c r="D10" s="39"/>
      <c r="E10" s="39"/>
      <c r="F10" s="39"/>
      <c r="G10" s="39"/>
      <c r="H10" s="39"/>
    </row>
    <row r="11" spans="1:16">
      <c r="A11" s="39"/>
      <c r="B11" s="39"/>
      <c r="C11" s="39"/>
      <c r="D11" s="39"/>
      <c r="E11" s="39"/>
      <c r="F11" s="39"/>
      <c r="G11" s="39"/>
      <c r="H11" s="39"/>
    </row>
    <row r="12" spans="1:16">
      <c r="A12" s="39"/>
      <c r="B12" s="39"/>
      <c r="C12" s="39"/>
      <c r="D12" s="39"/>
      <c r="E12" s="39"/>
      <c r="F12" s="39"/>
      <c r="G12" s="39"/>
      <c r="H12" s="39"/>
    </row>
    <row r="13" spans="1:16">
      <c r="A13" s="39"/>
      <c r="B13" s="39"/>
      <c r="C13" s="39"/>
      <c r="D13" s="39"/>
      <c r="E13" s="39"/>
      <c r="F13" s="39"/>
      <c r="G13" s="39"/>
      <c r="H13" s="39"/>
    </row>
    <row r="14" spans="1:16">
      <c r="A14" s="39"/>
      <c r="B14" s="39"/>
      <c r="C14" s="39"/>
      <c r="D14" s="39"/>
      <c r="E14" s="39"/>
      <c r="F14" s="39"/>
      <c r="G14" s="39"/>
      <c r="H14" s="39"/>
    </row>
    <row r="15" spans="1:16">
      <c r="A15" s="39"/>
      <c r="B15" s="39"/>
      <c r="C15" s="39"/>
      <c r="D15" s="39"/>
      <c r="E15" s="39"/>
      <c r="F15" s="39"/>
      <c r="G15" s="39"/>
      <c r="H15" s="39"/>
      <c r="J15" s="23"/>
    </row>
    <row r="16" spans="1:16">
      <c r="A16" s="39"/>
      <c r="B16" s="39"/>
      <c r="C16" s="39"/>
      <c r="D16" s="39"/>
      <c r="E16" s="39"/>
      <c r="F16" s="39"/>
      <c r="G16" s="39"/>
      <c r="H16" s="39"/>
    </row>
    <row r="17" spans="1:8">
      <c r="A17" s="39"/>
      <c r="B17" s="39"/>
      <c r="C17" s="39"/>
      <c r="D17" s="39"/>
      <c r="E17" s="39"/>
      <c r="F17" s="39"/>
      <c r="G17" s="39"/>
      <c r="H17" s="39"/>
    </row>
    <row r="18" spans="1:8">
      <c r="A18" s="39"/>
      <c r="B18" s="39"/>
      <c r="C18" s="39"/>
      <c r="D18" s="39"/>
      <c r="E18" s="39"/>
      <c r="F18" s="39"/>
      <c r="G18" s="39"/>
      <c r="H18" s="39"/>
    </row>
    <row r="19" spans="1:8">
      <c r="A19" s="39"/>
      <c r="B19" s="39"/>
      <c r="C19" s="39"/>
      <c r="D19" s="39"/>
      <c r="E19" s="39"/>
      <c r="F19" s="39"/>
      <c r="G19" s="39"/>
      <c r="H19" s="39"/>
    </row>
    <row r="20" spans="1:8">
      <c r="A20" s="39"/>
      <c r="B20" s="39"/>
      <c r="C20" s="39"/>
      <c r="D20" s="39"/>
      <c r="E20" s="39"/>
      <c r="F20" s="39"/>
      <c r="G20" s="39"/>
      <c r="H20" s="39"/>
    </row>
    <row r="21" spans="1:8">
      <c r="A21" s="39"/>
      <c r="B21" s="39"/>
      <c r="C21" s="39"/>
      <c r="D21" s="39"/>
      <c r="E21" s="39"/>
      <c r="F21" s="39"/>
      <c r="G21" s="39"/>
      <c r="H21" s="39"/>
    </row>
    <row r="23" spans="1:8">
      <c r="A23" s="1" t="s">
        <v>151</v>
      </c>
    </row>
    <row r="41" spans="1:1">
      <c r="A41" s="29"/>
    </row>
  </sheetData>
  <mergeCells count="1">
    <mergeCell ref="A1:H21"/>
  </mergeCells>
  <conditionalFormatting sqref="M2">
    <cfRule type="cellIs" dxfId="8" priority="2" operator="lessThan">
      <formula>60</formula>
    </cfRule>
  </conditionalFormatting>
  <conditionalFormatting sqref="M2:M7">
    <cfRule type="cellIs" dxfId="7" priority="1" operator="lessThan">
      <formula>65.5</formula>
    </cfRule>
  </conditionalFormatting>
  <dataValidations count="1">
    <dataValidation type="list" allowBlank="1" showInputMessage="1" showErrorMessage="1" sqref="L2:L7">
      <formula1>"CS ,IT,CE"</formula1>
    </dataValidation>
  </dataValidations>
  <pageMargins left="0.7" right="0.7" top="0.75" bottom="0.75" header="0.3" footer="0.3"/>
  <pageSetup scale="4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29"/>
  <sheetViews>
    <sheetView workbookViewId="0">
      <selection activeCell="F1" sqref="F1"/>
    </sheetView>
  </sheetViews>
  <sheetFormatPr defaultRowHeight="14.5"/>
  <cols>
    <col min="1" max="1" width="12.81640625" customWidth="1"/>
    <col min="2" max="2" width="12.90625" style="9" customWidth="1"/>
    <col min="3" max="3" width="12.36328125" style="9" customWidth="1"/>
    <col min="4" max="5" width="8.7265625" style="9"/>
    <col min="6" max="6" width="16.26953125" style="9" customWidth="1"/>
    <col min="7" max="7" width="11" style="9" customWidth="1"/>
    <col min="8" max="8" width="32.1796875" style="9" customWidth="1"/>
    <col min="9" max="9" width="15.08984375" style="9" customWidth="1"/>
    <col min="10" max="10" width="17.36328125" style="9" customWidth="1"/>
    <col min="11" max="11" width="15.1796875" style="9" customWidth="1"/>
    <col min="12" max="12" width="8.7265625" style="9"/>
    <col min="14" max="14" width="18" style="9" customWidth="1"/>
    <col min="15" max="16" width="8.7265625" style="9"/>
  </cols>
  <sheetData>
    <row r="1" spans="1:16" ht="15" thickBot="1">
      <c r="A1" s="31"/>
      <c r="B1" s="35"/>
      <c r="C1" s="35"/>
      <c r="D1" s="35"/>
      <c r="E1" s="35"/>
      <c r="F1" s="36"/>
      <c r="G1" s="28" t="s">
        <v>556</v>
      </c>
      <c r="H1" s="28" t="s">
        <v>557</v>
      </c>
      <c r="I1" s="28" t="s">
        <v>558</v>
      </c>
      <c r="J1" s="28" t="s">
        <v>559</v>
      </c>
      <c r="K1" s="28" t="s">
        <v>560</v>
      </c>
      <c r="L1" s="28" t="s">
        <v>561</v>
      </c>
      <c r="N1" s="28" t="s">
        <v>562</v>
      </c>
      <c r="O1" s="28" t="s">
        <v>563</v>
      </c>
      <c r="P1" s="28" t="s">
        <v>564</v>
      </c>
    </row>
    <row r="2" spans="1:16" ht="15" thickBot="1">
      <c r="A2" s="31">
        <v>128983</v>
      </c>
      <c r="B2" s="35">
        <v>478</v>
      </c>
      <c r="C2" s="35" t="s">
        <v>153</v>
      </c>
      <c r="D2" s="35">
        <v>8</v>
      </c>
      <c r="E2" s="35">
        <v>8</v>
      </c>
      <c r="F2" s="36">
        <v>43483</v>
      </c>
      <c r="G2" s="9">
        <f>VLOOKUP(A2,Sheet9!$A:$F,2,FALSE)</f>
        <v>200000</v>
      </c>
      <c r="H2" s="9" t="str">
        <f>VLOOKUP(A2,Sheet9!$A:$F,3,FALSE )</f>
        <v>Adiala Road</v>
      </c>
      <c r="I2" s="9" t="str">
        <f>VLOOKUP(A2,Sheet9!$A:$F,4,FALSE)</f>
        <v>Rawalpindi</v>
      </c>
      <c r="J2" s="9" t="str">
        <f>VLOOKUP(A2,Sheet9!$A:$F,5,FALSE)</f>
        <v>Punjab</v>
      </c>
      <c r="K2" s="9" t="str">
        <f>VLOOKUP(A2,Sheet9!$A:$F,6,FALSE)</f>
        <v>For Rent</v>
      </c>
      <c r="L2" s="9">
        <f>HLOOKUP(J2,$N$1:$P$2,2,FALSE)</f>
        <v>2</v>
      </c>
      <c r="N2" s="9">
        <v>3</v>
      </c>
      <c r="O2" s="9">
        <v>2</v>
      </c>
      <c r="P2" s="9">
        <v>1</v>
      </c>
    </row>
    <row r="3" spans="1:16" ht="15" thickBot="1">
      <c r="A3" s="31">
        <v>237062</v>
      </c>
      <c r="B3" s="35">
        <v>3325</v>
      </c>
      <c r="C3" s="35" t="s">
        <v>154</v>
      </c>
      <c r="D3" s="35">
        <v>2</v>
      </c>
      <c r="E3" s="35">
        <v>2</v>
      </c>
      <c r="F3" s="36">
        <v>43500</v>
      </c>
      <c r="G3" s="9">
        <f>VLOOKUP(A3,Sheet9!$A:$F,2,FALSE)</f>
        <v>10000000</v>
      </c>
      <c r="H3" s="9" t="str">
        <f>VLOOKUP(A3,Sheet9!$A:$F,3,FALSE )</f>
        <v>G-10</v>
      </c>
      <c r="I3" s="9" t="str">
        <f>VLOOKUP(A3,Sheet9!$A:$F,4,FALSE)</f>
        <v>Islamabad</v>
      </c>
      <c r="J3" s="9" t="str">
        <f>VLOOKUP(A3,Sheet9!$A:$F,5,FALSE)</f>
        <v>Islamabad Capital</v>
      </c>
      <c r="K3" s="9" t="str">
        <f>VLOOKUP(A3,Sheet9!$A:$F,6,FALSE)</f>
        <v>For Sale</v>
      </c>
      <c r="L3" s="9">
        <f t="shared" ref="L3:L66" si="0">HLOOKUP(J3,$N$1:$P$2,2,FALSE)</f>
        <v>3</v>
      </c>
    </row>
    <row r="4" spans="1:16" ht="15" thickBot="1">
      <c r="A4" s="31">
        <v>342005</v>
      </c>
      <c r="B4" s="35">
        <v>232</v>
      </c>
      <c r="C4" s="35" t="s">
        <v>153</v>
      </c>
      <c r="D4" s="35">
        <v>8</v>
      </c>
      <c r="E4" s="35">
        <v>6</v>
      </c>
      <c r="F4" s="36">
        <v>43664</v>
      </c>
      <c r="G4" s="9">
        <f>VLOOKUP(A4,Sheet9!$A:$F,2,FALSE)</f>
        <v>35000000</v>
      </c>
      <c r="H4" s="9" t="str">
        <f>VLOOKUP(A4,Sheet9!$A:$F,3,FALSE )</f>
        <v>Gulistan-e-Jauhar</v>
      </c>
      <c r="I4" s="9" t="str">
        <f>VLOOKUP(A4,Sheet9!$A:$F,4,FALSE)</f>
        <v>Karachi</v>
      </c>
      <c r="J4" s="9" t="str">
        <f>VLOOKUP(A4,Sheet9!$A:$F,5,FALSE)</f>
        <v>Sindh</v>
      </c>
      <c r="K4" s="9" t="str">
        <f>VLOOKUP(A4,Sheet9!$A:$F,6,FALSE)</f>
        <v>For Sale</v>
      </c>
      <c r="L4" s="9">
        <f t="shared" si="0"/>
        <v>1</v>
      </c>
    </row>
    <row r="5" spans="1:16" ht="15" thickBot="1">
      <c r="A5" s="31">
        <v>346905</v>
      </c>
      <c r="B5" s="35">
        <v>3236</v>
      </c>
      <c r="C5" s="35" t="s">
        <v>154</v>
      </c>
      <c r="D5" s="35">
        <v>3</v>
      </c>
      <c r="E5" s="35">
        <v>3</v>
      </c>
      <c r="F5" s="36">
        <v>43589</v>
      </c>
      <c r="G5" s="9">
        <f>VLOOKUP(A5,Sheet9!$A:$F,2,FALSE)</f>
        <v>6900000</v>
      </c>
      <c r="H5" s="9" t="str">
        <f>VLOOKUP(A5,Sheet9!$A:$F,3,FALSE )</f>
        <v>E-11</v>
      </c>
      <c r="I5" s="9" t="str">
        <f>VLOOKUP(A5,Sheet9!$A:$F,4,FALSE)</f>
        <v>Islamabad</v>
      </c>
      <c r="J5" s="9" t="str">
        <f>VLOOKUP(A5,Sheet9!$A:$F,5,FALSE)</f>
        <v>Islamabad Capital</v>
      </c>
      <c r="K5" s="9" t="str">
        <f>VLOOKUP(A5,Sheet9!$A:$F,6,FALSE)</f>
        <v>For Sale</v>
      </c>
      <c r="L5" s="9">
        <f t="shared" si="0"/>
        <v>3</v>
      </c>
    </row>
    <row r="6" spans="1:16" ht="15" thickBot="1">
      <c r="A6" s="31">
        <v>347795</v>
      </c>
      <c r="B6" s="35">
        <v>8</v>
      </c>
      <c r="C6" s="35" t="s">
        <v>153</v>
      </c>
      <c r="D6" s="35">
        <v>0</v>
      </c>
      <c r="E6" s="35">
        <v>0</v>
      </c>
      <c r="F6" s="36">
        <v>43663</v>
      </c>
      <c r="G6" s="9">
        <f>VLOOKUP(A6,Sheet9!$A:$F,2,FALSE)</f>
        <v>220000000</v>
      </c>
      <c r="H6" s="9" t="str">
        <f>VLOOKUP(A6,Sheet9!$A:$F,3,FALSE )</f>
        <v>Model Town</v>
      </c>
      <c r="I6" s="9" t="str">
        <f>VLOOKUP(A6,Sheet9!$A:$F,4,FALSE)</f>
        <v>Lahore</v>
      </c>
      <c r="J6" s="9" t="str">
        <f>VLOOKUP(A6,Sheet9!$A:$F,5,FALSE)</f>
        <v>Punjab</v>
      </c>
      <c r="K6" s="9" t="str">
        <f>VLOOKUP(A6,Sheet9!$A:$F,6,FALSE)</f>
        <v>For Sale</v>
      </c>
      <c r="L6" s="9">
        <f t="shared" si="0"/>
        <v>2</v>
      </c>
    </row>
    <row r="7" spans="1:16" ht="15" thickBot="1">
      <c r="A7" s="31">
        <v>386513</v>
      </c>
      <c r="B7" s="35">
        <v>764</v>
      </c>
      <c r="C7" s="35" t="s">
        <v>153</v>
      </c>
      <c r="D7" s="35">
        <v>6</v>
      </c>
      <c r="E7" s="35">
        <v>5</v>
      </c>
      <c r="F7" s="36">
        <v>43663</v>
      </c>
      <c r="G7" s="9">
        <f>VLOOKUP(A7,Sheet9!$A:$F,2,FALSE)</f>
        <v>16500000</v>
      </c>
      <c r="H7" s="9" t="str">
        <f>VLOOKUP(A7,Sheet9!$A:$F,3,FALSE )</f>
        <v>G-15</v>
      </c>
      <c r="I7" s="9" t="str">
        <f>VLOOKUP(A7,Sheet9!$A:$F,4,FALSE)</f>
        <v>Islamabad</v>
      </c>
      <c r="J7" s="9" t="str">
        <f>VLOOKUP(A7,Sheet9!$A:$F,5,FALSE)</f>
        <v>Islamabad Capital</v>
      </c>
      <c r="K7" s="9" t="str">
        <f>VLOOKUP(A7,Sheet9!$A:$F,6,FALSE)</f>
        <v>For Sale</v>
      </c>
      <c r="L7" s="9">
        <f t="shared" si="0"/>
        <v>3</v>
      </c>
    </row>
    <row r="8" spans="1:16" ht="15" thickBot="1">
      <c r="A8" s="31">
        <v>425947</v>
      </c>
      <c r="B8" s="35">
        <v>1406</v>
      </c>
      <c r="C8" s="35" t="s">
        <v>153</v>
      </c>
      <c r="D8" s="35">
        <v>4</v>
      </c>
      <c r="E8" s="35">
        <v>5</v>
      </c>
      <c r="F8" s="36">
        <v>43560</v>
      </c>
      <c r="G8" s="9">
        <f>VLOOKUP(A8,Sheet9!$A:$F,2,FALSE)</f>
        <v>13500000</v>
      </c>
      <c r="H8" s="9" t="str">
        <f>VLOOKUP(A8,Sheet9!$A:$F,3,FALSE )</f>
        <v>Humak</v>
      </c>
      <c r="I8" s="9" t="str">
        <f>VLOOKUP(A8,Sheet9!$A:$F,4,FALSE)</f>
        <v>Rawalpindi</v>
      </c>
      <c r="J8" s="9" t="str">
        <f>VLOOKUP(A8,Sheet9!$A:$F,5,FALSE)</f>
        <v>Punjab</v>
      </c>
      <c r="K8" s="9" t="str">
        <f>VLOOKUP(A8,Sheet9!$A:$F,6,FALSE)</f>
        <v>For Sale</v>
      </c>
      <c r="L8" s="9">
        <f t="shared" si="0"/>
        <v>2</v>
      </c>
    </row>
    <row r="9" spans="1:16" ht="15" thickBot="1">
      <c r="A9" s="31">
        <v>466607</v>
      </c>
      <c r="B9" s="35">
        <v>1484</v>
      </c>
      <c r="C9" s="35" t="s">
        <v>154</v>
      </c>
      <c r="D9" s="35">
        <v>3</v>
      </c>
      <c r="E9" s="35">
        <v>3</v>
      </c>
      <c r="F9" s="36">
        <v>43393</v>
      </c>
      <c r="G9" s="9">
        <f>VLOOKUP(A9,Sheet9!$A:$F,2,FALSE)</f>
        <v>21000000</v>
      </c>
      <c r="H9" s="9" t="str">
        <f>VLOOKUP(A9,Sheet9!$A:$F,3,FALSE )</f>
        <v>DHA Defence</v>
      </c>
      <c r="I9" s="9" t="str">
        <f>VLOOKUP(A9,Sheet9!$A:$F,4,FALSE)</f>
        <v>Karachi</v>
      </c>
      <c r="J9" s="9" t="str">
        <f>VLOOKUP(A9,Sheet9!$A:$F,5,FALSE)</f>
        <v>Sindh</v>
      </c>
      <c r="K9" s="9" t="str">
        <f>VLOOKUP(A9,Sheet9!$A:$F,6,FALSE)</f>
        <v>For Sale</v>
      </c>
      <c r="L9" s="9">
        <f t="shared" si="0"/>
        <v>1</v>
      </c>
    </row>
    <row r="10" spans="1:16" ht="15" thickBot="1">
      <c r="A10" s="31">
        <v>482892</v>
      </c>
      <c r="B10" s="35">
        <v>48</v>
      </c>
      <c r="C10" s="35" t="s">
        <v>153</v>
      </c>
      <c r="D10" s="35">
        <v>5</v>
      </c>
      <c r="E10" s="35">
        <v>5</v>
      </c>
      <c r="F10" s="36">
        <v>43379</v>
      </c>
      <c r="G10" s="9">
        <f>VLOOKUP(A10,Sheet9!$A:$F,2,FALSE)</f>
        <v>40000000</v>
      </c>
      <c r="H10" s="9" t="str">
        <f>VLOOKUP(A10,Sheet9!$A:$F,3,FALSE )</f>
        <v>Multan Road</v>
      </c>
      <c r="I10" s="9" t="str">
        <f>VLOOKUP(A10,Sheet9!$A:$F,4,FALSE)</f>
        <v>Lahore</v>
      </c>
      <c r="J10" s="9" t="str">
        <f>VLOOKUP(A10,Sheet9!$A:$F,5,FALSE)</f>
        <v>Punjab</v>
      </c>
      <c r="K10" s="9" t="str">
        <f>VLOOKUP(A10,Sheet9!$A:$F,6,FALSE)</f>
        <v>For Sale</v>
      </c>
      <c r="L10" s="9">
        <f t="shared" si="0"/>
        <v>2</v>
      </c>
    </row>
    <row r="11" spans="1:16" ht="15" thickBot="1">
      <c r="A11" s="31">
        <v>487921</v>
      </c>
      <c r="B11" s="35">
        <v>6053</v>
      </c>
      <c r="C11" s="35" t="s">
        <v>153</v>
      </c>
      <c r="D11" s="35">
        <v>10</v>
      </c>
      <c r="E11" s="35">
        <v>12</v>
      </c>
      <c r="F11" s="36">
        <v>43650</v>
      </c>
      <c r="G11" s="9">
        <f>VLOOKUP(A11,Sheet9!$A:$F,2,FALSE)</f>
        <v>31500000</v>
      </c>
      <c r="H11" s="9" t="str">
        <f>VLOOKUP(A11,Sheet9!$A:$F,3,FALSE )</f>
        <v>Westridge</v>
      </c>
      <c r="I11" s="9" t="str">
        <f>VLOOKUP(A11,Sheet9!$A:$F,4,FALSE)</f>
        <v>Rawalpindi</v>
      </c>
      <c r="J11" s="9" t="str">
        <f>VLOOKUP(A11,Sheet9!$A:$F,5,FALSE)</f>
        <v>Punjab</v>
      </c>
      <c r="K11" s="9" t="str">
        <f>VLOOKUP(A11,Sheet9!$A:$F,6,FALSE)</f>
        <v>For Sale</v>
      </c>
      <c r="L11" s="9">
        <f t="shared" si="0"/>
        <v>2</v>
      </c>
    </row>
    <row r="12" spans="1:16" ht="15" thickBot="1">
      <c r="A12" s="31">
        <v>488267</v>
      </c>
      <c r="B12" s="35">
        <v>3046</v>
      </c>
      <c r="C12" s="35" t="s">
        <v>153</v>
      </c>
      <c r="D12" s="35">
        <v>6</v>
      </c>
      <c r="E12" s="35">
        <v>6</v>
      </c>
      <c r="F12" s="36">
        <v>43663</v>
      </c>
      <c r="G12" s="9">
        <f>VLOOKUP(A12,Sheet9!$A:$F,2,FALSE)</f>
        <v>23000000</v>
      </c>
      <c r="H12" s="9" t="str">
        <f>VLOOKUP(A12,Sheet9!$A:$F,3,FALSE )</f>
        <v>Bahria Town Rawalpindi</v>
      </c>
      <c r="I12" s="9" t="str">
        <f>VLOOKUP(A12,Sheet9!$A:$F,4,FALSE)</f>
        <v>Rawalpindi</v>
      </c>
      <c r="J12" s="9" t="str">
        <f>VLOOKUP(A12,Sheet9!$A:$F,5,FALSE)</f>
        <v>Punjab</v>
      </c>
      <c r="K12" s="9" t="str">
        <f>VLOOKUP(A12,Sheet9!$A:$F,6,FALSE)</f>
        <v>For Sale</v>
      </c>
      <c r="L12" s="9">
        <f t="shared" si="0"/>
        <v>2</v>
      </c>
    </row>
    <row r="13" spans="1:16" ht="15" thickBot="1">
      <c r="A13" s="31">
        <v>523420</v>
      </c>
      <c r="B13" s="35">
        <v>1484</v>
      </c>
      <c r="C13" s="35" t="s">
        <v>153</v>
      </c>
      <c r="D13" s="35">
        <v>0</v>
      </c>
      <c r="E13" s="35">
        <v>6</v>
      </c>
      <c r="F13" s="36">
        <v>43664</v>
      </c>
      <c r="G13" s="9">
        <f>VLOOKUP(A13,Sheet9!$A:$F,2,FALSE)</f>
        <v>200000</v>
      </c>
      <c r="H13" s="9" t="str">
        <f>VLOOKUP(A13,Sheet9!$A:$F,3,FALSE )</f>
        <v>DHA Defence</v>
      </c>
      <c r="I13" s="9" t="str">
        <f>VLOOKUP(A13,Sheet9!$A:$F,4,FALSE)</f>
        <v>Karachi</v>
      </c>
      <c r="J13" s="9" t="str">
        <f>VLOOKUP(A13,Sheet9!$A:$F,5,FALSE)</f>
        <v>Sindh</v>
      </c>
      <c r="K13" s="9" t="str">
        <f>VLOOKUP(A13,Sheet9!$A:$F,6,FALSE)</f>
        <v>For Rent</v>
      </c>
      <c r="L13" s="9">
        <f t="shared" si="0"/>
        <v>1</v>
      </c>
    </row>
    <row r="14" spans="1:16" ht="15" thickBot="1">
      <c r="A14" s="31">
        <v>530579</v>
      </c>
      <c r="B14" s="35">
        <v>1673</v>
      </c>
      <c r="C14" s="35" t="s">
        <v>153</v>
      </c>
      <c r="D14" s="35">
        <v>0</v>
      </c>
      <c r="E14" s="35">
        <v>6</v>
      </c>
      <c r="F14" s="36">
        <v>43664</v>
      </c>
      <c r="G14" s="9">
        <f>VLOOKUP(A14,Sheet9!$A:$F,2,FALSE)</f>
        <v>230000</v>
      </c>
      <c r="H14" s="9" t="str">
        <f>VLOOKUP(A14,Sheet9!$A:$F,3,FALSE )</f>
        <v>DHA Defence</v>
      </c>
      <c r="I14" s="9" t="str">
        <f>VLOOKUP(A14,Sheet9!$A:$F,4,FALSE)</f>
        <v>Karachi</v>
      </c>
      <c r="J14" s="9" t="str">
        <f>VLOOKUP(A14,Sheet9!$A:$F,5,FALSE)</f>
        <v>Sindh</v>
      </c>
      <c r="K14" s="9" t="str">
        <f>VLOOKUP(A14,Sheet9!$A:$F,6,FALSE)</f>
        <v>For Rent</v>
      </c>
      <c r="L14" s="9">
        <f t="shared" si="0"/>
        <v>1</v>
      </c>
    </row>
    <row r="15" spans="1:16" ht="15" thickBot="1">
      <c r="A15" s="31">
        <v>555962</v>
      </c>
      <c r="B15" s="35">
        <v>75</v>
      </c>
      <c r="C15" s="35" t="s">
        <v>153</v>
      </c>
      <c r="D15" s="35">
        <v>0</v>
      </c>
      <c r="E15" s="35">
        <v>3</v>
      </c>
      <c r="F15" s="36">
        <v>43649</v>
      </c>
      <c r="G15" s="9">
        <f>VLOOKUP(A15,Sheet9!$A:$F,2,FALSE)</f>
        <v>9500000</v>
      </c>
      <c r="H15" s="9" t="str">
        <f>VLOOKUP(A15,Sheet9!$A:$F,3,FALSE )</f>
        <v>Eden</v>
      </c>
      <c r="I15" s="9" t="str">
        <f>VLOOKUP(A15,Sheet9!$A:$F,4,FALSE)</f>
        <v>Lahore</v>
      </c>
      <c r="J15" s="9" t="str">
        <f>VLOOKUP(A15,Sheet9!$A:$F,5,FALSE)</f>
        <v>Punjab</v>
      </c>
      <c r="K15" s="9" t="str">
        <f>VLOOKUP(A15,Sheet9!$A:$F,6,FALSE)</f>
        <v>For Sale</v>
      </c>
      <c r="L15" s="9">
        <f t="shared" si="0"/>
        <v>2</v>
      </c>
    </row>
    <row r="16" spans="1:16" ht="15" thickBot="1">
      <c r="A16" s="31">
        <v>557299</v>
      </c>
      <c r="B16" s="35">
        <v>181</v>
      </c>
      <c r="C16" s="35" t="s">
        <v>153</v>
      </c>
      <c r="D16" s="35">
        <v>4</v>
      </c>
      <c r="E16" s="35">
        <v>4</v>
      </c>
      <c r="F16" s="36">
        <v>43334</v>
      </c>
      <c r="G16" s="9">
        <f>VLOOKUP(A16,Sheet9!$A:$F,2,FALSE)</f>
        <v>120000</v>
      </c>
      <c r="H16" s="9" t="str">
        <f>VLOOKUP(A16,Sheet9!$A:$F,3,FALSE )</f>
        <v>Cantt</v>
      </c>
      <c r="I16" s="9" t="str">
        <f>VLOOKUP(A16,Sheet9!$A:$F,4,FALSE)</f>
        <v>Karachi</v>
      </c>
      <c r="J16" s="9" t="str">
        <f>VLOOKUP(A16,Sheet9!$A:$F,5,FALSE)</f>
        <v>Sindh</v>
      </c>
      <c r="K16" s="9" t="str">
        <f>VLOOKUP(A16,Sheet9!$A:$F,6,FALSE)</f>
        <v>For Rent</v>
      </c>
      <c r="L16" s="9">
        <f t="shared" si="0"/>
        <v>1</v>
      </c>
    </row>
    <row r="17" spans="1:12" ht="15" thickBot="1">
      <c r="A17" s="31">
        <v>562843</v>
      </c>
      <c r="B17" s="35">
        <v>3821</v>
      </c>
      <c r="C17" s="35" t="s">
        <v>153</v>
      </c>
      <c r="D17" s="35">
        <v>7</v>
      </c>
      <c r="E17" s="35">
        <v>8</v>
      </c>
      <c r="F17" s="36">
        <v>43559</v>
      </c>
      <c r="G17" s="9">
        <f>VLOOKUP(A17,Sheet9!$A:$F,2,FALSE)</f>
        <v>125000000</v>
      </c>
      <c r="H17" s="9" t="str">
        <f>VLOOKUP(A17,Sheet9!$A:$F,3,FALSE )</f>
        <v>Gulberg</v>
      </c>
      <c r="I17" s="9" t="str">
        <f>VLOOKUP(A17,Sheet9!$A:$F,4,FALSE)</f>
        <v>Lahore</v>
      </c>
      <c r="J17" s="9" t="str">
        <f>VLOOKUP(A17,Sheet9!$A:$F,5,FALSE)</f>
        <v>Punjab</v>
      </c>
      <c r="K17" s="9" t="str">
        <f>VLOOKUP(A17,Sheet9!$A:$F,6,FALSE)</f>
        <v>For Sale</v>
      </c>
      <c r="L17" s="9">
        <f t="shared" si="0"/>
        <v>2</v>
      </c>
    </row>
    <row r="18" spans="1:12" ht="15" thickBot="1">
      <c r="A18" s="31">
        <v>656161</v>
      </c>
      <c r="B18" s="35">
        <v>340</v>
      </c>
      <c r="C18" s="35" t="s">
        <v>153</v>
      </c>
      <c r="D18" s="35">
        <v>4</v>
      </c>
      <c r="E18" s="35">
        <v>4</v>
      </c>
      <c r="F18" s="36">
        <v>43560</v>
      </c>
      <c r="G18" s="9">
        <f>VLOOKUP(A18,Sheet9!$A:$F,2,FALSE)</f>
        <v>43500000</v>
      </c>
      <c r="H18" s="9" t="str">
        <f>VLOOKUP(A18,Sheet9!$A:$F,3,FALSE )</f>
        <v>Bani Gala</v>
      </c>
      <c r="I18" s="9" t="str">
        <f>VLOOKUP(A18,Sheet9!$A:$F,4,FALSE)</f>
        <v>Islamabad</v>
      </c>
      <c r="J18" s="9" t="str">
        <f>VLOOKUP(A18,Sheet9!$A:$F,5,FALSE)</f>
        <v>Islamabad Capital</v>
      </c>
      <c r="K18" s="9" t="str">
        <f>VLOOKUP(A18,Sheet9!$A:$F,6,FALSE)</f>
        <v>For Sale</v>
      </c>
      <c r="L18" s="9">
        <f t="shared" si="0"/>
        <v>3</v>
      </c>
    </row>
    <row r="19" spans="1:12" ht="15" thickBot="1">
      <c r="A19" s="31">
        <v>678919</v>
      </c>
      <c r="B19" s="35">
        <v>9594</v>
      </c>
      <c r="C19" s="35" t="s">
        <v>153</v>
      </c>
      <c r="D19" s="35">
        <v>1</v>
      </c>
      <c r="E19" s="35">
        <v>2</v>
      </c>
      <c r="F19" s="36">
        <v>43534</v>
      </c>
      <c r="G19" s="9">
        <f>VLOOKUP(A19,Sheet9!$A:$F,2,FALSE)</f>
        <v>6500000</v>
      </c>
      <c r="H19" s="9" t="str">
        <f>VLOOKUP(A19,Sheet9!$A:$F,3,FALSE )</f>
        <v>Malir</v>
      </c>
      <c r="I19" s="9" t="str">
        <f>VLOOKUP(A19,Sheet9!$A:$F,4,FALSE)</f>
        <v>Karachi</v>
      </c>
      <c r="J19" s="9" t="str">
        <f>VLOOKUP(A19,Sheet9!$A:$F,5,FALSE)</f>
        <v>Sindh</v>
      </c>
      <c r="K19" s="9" t="str">
        <f>VLOOKUP(A19,Sheet9!$A:$F,6,FALSE)</f>
        <v>For Sale</v>
      </c>
      <c r="L19" s="9">
        <f t="shared" si="0"/>
        <v>1</v>
      </c>
    </row>
    <row r="20" spans="1:12" ht="15" thickBot="1">
      <c r="A20" s="31">
        <v>686990</v>
      </c>
      <c r="B20" s="35">
        <v>3522</v>
      </c>
      <c r="C20" s="35" t="s">
        <v>153</v>
      </c>
      <c r="D20" s="35">
        <v>5</v>
      </c>
      <c r="E20" s="35">
        <v>6</v>
      </c>
      <c r="F20" s="36">
        <v>43559</v>
      </c>
      <c r="G20" s="9">
        <f>VLOOKUP(A20,Sheet9!$A:$F,2,FALSE)</f>
        <v>21000000</v>
      </c>
      <c r="H20" s="9" t="str">
        <f>VLOOKUP(A20,Sheet9!$A:$F,3,FALSE )</f>
        <v>Allama Iqbal Town</v>
      </c>
      <c r="I20" s="9" t="str">
        <f>VLOOKUP(A20,Sheet9!$A:$F,4,FALSE)</f>
        <v>Lahore</v>
      </c>
      <c r="J20" s="9" t="str">
        <f>VLOOKUP(A20,Sheet9!$A:$F,5,FALSE)</f>
        <v>Punjab</v>
      </c>
      <c r="K20" s="9" t="str">
        <f>VLOOKUP(A20,Sheet9!$A:$F,6,FALSE)</f>
        <v>For Sale</v>
      </c>
      <c r="L20" s="9">
        <f t="shared" si="0"/>
        <v>2</v>
      </c>
    </row>
    <row r="21" spans="1:12" ht="15" thickBot="1">
      <c r="A21" s="31">
        <v>785289</v>
      </c>
      <c r="B21" s="35">
        <v>3102</v>
      </c>
      <c r="C21" s="35" t="s">
        <v>153</v>
      </c>
      <c r="D21" s="35">
        <v>6</v>
      </c>
      <c r="E21" s="35">
        <v>5</v>
      </c>
      <c r="F21" s="36">
        <v>43618</v>
      </c>
      <c r="G21" s="9">
        <f>VLOOKUP(A21,Sheet9!$A:$F,2,FALSE)</f>
        <v>52000000</v>
      </c>
      <c r="H21" s="9" t="str">
        <f>VLOOKUP(A21,Sheet9!$A:$F,3,FALSE )</f>
        <v>Gulberg</v>
      </c>
      <c r="I21" s="9" t="str">
        <f>VLOOKUP(A21,Sheet9!$A:$F,4,FALSE)</f>
        <v>Lahore</v>
      </c>
      <c r="J21" s="9" t="str">
        <f>VLOOKUP(A21,Sheet9!$A:$F,5,FALSE)</f>
        <v>Punjab</v>
      </c>
      <c r="K21" s="9" t="str">
        <f>VLOOKUP(A21,Sheet9!$A:$F,6,FALSE)</f>
        <v>For Sale</v>
      </c>
      <c r="L21" s="9">
        <f t="shared" si="0"/>
        <v>2</v>
      </c>
    </row>
    <row r="22" spans="1:12" ht="15" thickBot="1">
      <c r="A22" s="31">
        <v>798929</v>
      </c>
      <c r="B22" s="35">
        <v>1058</v>
      </c>
      <c r="C22" s="35" t="s">
        <v>153</v>
      </c>
      <c r="D22" s="35">
        <v>2</v>
      </c>
      <c r="E22" s="35">
        <v>3</v>
      </c>
      <c r="F22" s="36">
        <v>43590</v>
      </c>
      <c r="G22" s="9">
        <f>VLOOKUP(A22,Sheet9!$A:$F,2,FALSE)</f>
        <v>9990000</v>
      </c>
      <c r="H22" s="9" t="str">
        <f>VLOOKUP(A22,Sheet9!$A:$F,3,FALSE )</f>
        <v>Gulshan Abad</v>
      </c>
      <c r="I22" s="9" t="str">
        <f>VLOOKUP(A22,Sheet9!$A:$F,4,FALSE)</f>
        <v>Rawalpindi</v>
      </c>
      <c r="J22" s="9" t="str">
        <f>VLOOKUP(A22,Sheet9!$A:$F,5,FALSE)</f>
        <v>Punjab</v>
      </c>
      <c r="K22" s="9" t="str">
        <f>VLOOKUP(A22,Sheet9!$A:$F,6,FALSE)</f>
        <v>For Sale</v>
      </c>
      <c r="L22" s="9">
        <f t="shared" si="0"/>
        <v>2</v>
      </c>
    </row>
    <row r="23" spans="1:12" ht="15" thickBot="1">
      <c r="A23" s="31">
        <v>813506</v>
      </c>
      <c r="B23" s="35">
        <v>6732</v>
      </c>
      <c r="C23" s="35" t="s">
        <v>153</v>
      </c>
      <c r="D23" s="35">
        <v>4</v>
      </c>
      <c r="E23" s="35">
        <v>4</v>
      </c>
      <c r="F23" s="36">
        <v>43664</v>
      </c>
      <c r="G23" s="9">
        <f>VLOOKUP(A23,Sheet9!$A:$F,2,FALSE)</f>
        <v>13000000</v>
      </c>
      <c r="H23" s="9" t="str">
        <f>VLOOKUP(A23,Sheet9!$A:$F,3,FALSE )</f>
        <v>Gadap Town</v>
      </c>
      <c r="I23" s="9" t="str">
        <f>VLOOKUP(A23,Sheet9!$A:$F,4,FALSE)</f>
        <v>Karachi</v>
      </c>
      <c r="J23" s="9" t="str">
        <f>VLOOKUP(A23,Sheet9!$A:$F,5,FALSE)</f>
        <v>Sindh</v>
      </c>
      <c r="K23" s="9" t="str">
        <f>VLOOKUP(A23,Sheet9!$A:$F,6,FALSE)</f>
        <v>For Sale</v>
      </c>
      <c r="L23" s="9">
        <f t="shared" si="0"/>
        <v>1</v>
      </c>
    </row>
    <row r="24" spans="1:12" ht="15" thickBot="1">
      <c r="A24" s="31">
        <v>823201</v>
      </c>
      <c r="B24" s="35">
        <v>1312</v>
      </c>
      <c r="C24" s="35" t="s">
        <v>153</v>
      </c>
      <c r="D24" s="35">
        <v>5</v>
      </c>
      <c r="E24" s="35">
        <v>5</v>
      </c>
      <c r="F24" s="36">
        <v>43393</v>
      </c>
      <c r="G24" s="9">
        <f>VLOOKUP(A24,Sheet9!$A:$F,2,FALSE)</f>
        <v>125000</v>
      </c>
      <c r="H24" s="9" t="str">
        <f>VLOOKUP(A24,Sheet9!$A:$F,3,FALSE )</f>
        <v>Chaklala Scheme</v>
      </c>
      <c r="I24" s="9" t="str">
        <f>VLOOKUP(A24,Sheet9!$A:$F,4,FALSE)</f>
        <v>Rawalpindi</v>
      </c>
      <c r="J24" s="9" t="str">
        <f>VLOOKUP(A24,Sheet9!$A:$F,5,FALSE)</f>
        <v>Punjab</v>
      </c>
      <c r="K24" s="9" t="str">
        <f>VLOOKUP(A24,Sheet9!$A:$F,6,FALSE)</f>
        <v>For Rent</v>
      </c>
      <c r="L24" s="9">
        <f t="shared" si="0"/>
        <v>2</v>
      </c>
    </row>
    <row r="25" spans="1:12" ht="15" thickBot="1">
      <c r="A25" s="31">
        <v>841645</v>
      </c>
      <c r="B25" s="35">
        <v>3226</v>
      </c>
      <c r="C25" s="35" t="s">
        <v>153</v>
      </c>
      <c r="D25" s="35">
        <v>3</v>
      </c>
      <c r="E25" s="35">
        <v>3</v>
      </c>
      <c r="F25" s="36">
        <v>43656</v>
      </c>
      <c r="G25" s="9">
        <f>VLOOKUP(A25,Sheet9!$A:$F,2,FALSE)</f>
        <v>7000000</v>
      </c>
      <c r="H25" s="9" t="str">
        <f>VLOOKUP(A25,Sheet9!$A:$F,3,FALSE )</f>
        <v>DHA Defence</v>
      </c>
      <c r="I25" s="9" t="str">
        <f>VLOOKUP(A25,Sheet9!$A:$F,4,FALSE)</f>
        <v>Islamabad</v>
      </c>
      <c r="J25" s="9" t="str">
        <f>VLOOKUP(A25,Sheet9!$A:$F,5,FALSE)</f>
        <v>Islamabad Capital</v>
      </c>
      <c r="K25" s="9" t="str">
        <f>VLOOKUP(A25,Sheet9!$A:$F,6,FALSE)</f>
        <v>For Sale</v>
      </c>
      <c r="L25" s="9">
        <f t="shared" si="0"/>
        <v>3</v>
      </c>
    </row>
    <row r="26" spans="1:12" ht="15" thickBot="1">
      <c r="A26" s="31">
        <v>843206</v>
      </c>
      <c r="B26" s="35">
        <v>8157</v>
      </c>
      <c r="C26" s="35" t="s">
        <v>153</v>
      </c>
      <c r="D26" s="35">
        <v>5</v>
      </c>
      <c r="E26" s="35">
        <v>5</v>
      </c>
      <c r="F26" s="36">
        <v>43392</v>
      </c>
      <c r="G26" s="9">
        <f>VLOOKUP(A26,Sheet9!$A:$F,2,FALSE)</f>
        <v>22500000</v>
      </c>
      <c r="H26" s="9" t="str">
        <f>VLOOKUP(A26,Sheet9!$A:$F,3,FALSE )</f>
        <v>Media Town</v>
      </c>
      <c r="I26" s="9" t="str">
        <f>VLOOKUP(A26,Sheet9!$A:$F,4,FALSE)</f>
        <v>Rawalpindi</v>
      </c>
      <c r="J26" s="9" t="str">
        <f>VLOOKUP(A26,Sheet9!$A:$F,5,FALSE)</f>
        <v>Punjab</v>
      </c>
      <c r="K26" s="9" t="str">
        <f>VLOOKUP(A26,Sheet9!$A:$F,6,FALSE)</f>
        <v>For Sale</v>
      </c>
      <c r="L26" s="9">
        <f t="shared" si="0"/>
        <v>2</v>
      </c>
    </row>
    <row r="27" spans="1:12" ht="15" thickBot="1">
      <c r="A27" s="31">
        <v>850762</v>
      </c>
      <c r="B27" s="35">
        <v>3390</v>
      </c>
      <c r="C27" s="35" t="s">
        <v>153</v>
      </c>
      <c r="D27" s="35">
        <v>8</v>
      </c>
      <c r="E27" s="35">
        <v>8</v>
      </c>
      <c r="F27" s="36">
        <v>43560</v>
      </c>
      <c r="G27" s="9">
        <f>VLOOKUP(A27,Sheet9!$A:$F,2,FALSE)</f>
        <v>34500000</v>
      </c>
      <c r="H27" s="9" t="str">
        <f>VLOOKUP(A27,Sheet9!$A:$F,3,FALSE )</f>
        <v>Ghauri Town</v>
      </c>
      <c r="I27" s="9" t="str">
        <f>VLOOKUP(A27,Sheet9!$A:$F,4,FALSE)</f>
        <v>Islamabad</v>
      </c>
      <c r="J27" s="9" t="str">
        <f>VLOOKUP(A27,Sheet9!$A:$F,5,FALSE)</f>
        <v>Islamabad Capital</v>
      </c>
      <c r="K27" s="9" t="str">
        <f>VLOOKUP(A27,Sheet9!$A:$F,6,FALSE)</f>
        <v>For Sale</v>
      </c>
      <c r="L27" s="9">
        <f t="shared" si="0"/>
        <v>3</v>
      </c>
    </row>
    <row r="28" spans="1:12" ht="15" thickBot="1">
      <c r="A28" s="31">
        <v>858689</v>
      </c>
      <c r="B28" s="35">
        <v>3190</v>
      </c>
      <c r="C28" s="35" t="s">
        <v>153</v>
      </c>
      <c r="D28" s="35">
        <v>5</v>
      </c>
      <c r="E28" s="35">
        <v>5</v>
      </c>
      <c r="F28" s="36">
        <v>43393</v>
      </c>
      <c r="G28" s="9">
        <f>VLOOKUP(A28,Sheet9!$A:$F,2,FALSE)</f>
        <v>110000</v>
      </c>
      <c r="H28" s="9" t="str">
        <f>VLOOKUP(A28,Sheet9!$A:$F,3,FALSE )</f>
        <v>DHA Defence</v>
      </c>
      <c r="I28" s="9" t="str">
        <f>VLOOKUP(A28,Sheet9!$A:$F,4,FALSE)</f>
        <v>Islamabad</v>
      </c>
      <c r="J28" s="9" t="str">
        <f>VLOOKUP(A28,Sheet9!$A:$F,5,FALSE)</f>
        <v>Islamabad Capital</v>
      </c>
      <c r="K28" s="9" t="str">
        <f>VLOOKUP(A28,Sheet9!$A:$F,6,FALSE)</f>
        <v>For Rent</v>
      </c>
      <c r="L28" s="9">
        <f t="shared" si="0"/>
        <v>3</v>
      </c>
    </row>
    <row r="29" spans="1:12" ht="15" thickBot="1">
      <c r="A29" s="31">
        <v>877435</v>
      </c>
      <c r="B29" s="35">
        <v>165</v>
      </c>
      <c r="C29" s="35" t="s">
        <v>153</v>
      </c>
      <c r="D29" s="35">
        <v>6</v>
      </c>
      <c r="E29" s="35">
        <v>6</v>
      </c>
      <c r="F29" s="36">
        <v>43393</v>
      </c>
      <c r="G29" s="9">
        <f>VLOOKUP(A29,Sheet9!$A:$F,2,FALSE)</f>
        <v>600000</v>
      </c>
      <c r="H29" s="9" t="str">
        <f>VLOOKUP(A29,Sheet9!$A:$F,3,FALSE )</f>
        <v>F-7</v>
      </c>
      <c r="I29" s="9" t="str">
        <f>VLOOKUP(A29,Sheet9!$A:$F,4,FALSE)</f>
        <v>Islamabad</v>
      </c>
      <c r="J29" s="9" t="str">
        <f>VLOOKUP(A29,Sheet9!$A:$F,5,FALSE)</f>
        <v>Islamabad Capital</v>
      </c>
      <c r="K29" s="9" t="str">
        <f>VLOOKUP(A29,Sheet9!$A:$F,6,FALSE)</f>
        <v>For Rent</v>
      </c>
      <c r="L29" s="9">
        <f t="shared" si="0"/>
        <v>3</v>
      </c>
    </row>
    <row r="30" spans="1:12" ht="15" thickBot="1">
      <c r="A30" s="31">
        <v>891543</v>
      </c>
      <c r="B30" s="35">
        <v>4031</v>
      </c>
      <c r="C30" s="35" t="s">
        <v>153</v>
      </c>
      <c r="D30" s="35">
        <v>7</v>
      </c>
      <c r="E30" s="35">
        <v>6</v>
      </c>
      <c r="F30" s="36">
        <v>43649</v>
      </c>
      <c r="G30" s="9">
        <f>VLOOKUP(A30,Sheet9!$A:$F,2,FALSE)</f>
        <v>16500000</v>
      </c>
      <c r="H30" s="9" t="str">
        <f>VLOOKUP(A30,Sheet9!$A:$F,3,FALSE )</f>
        <v>Military Accounts Housing Society</v>
      </c>
      <c r="I30" s="9" t="str">
        <f>VLOOKUP(A30,Sheet9!$A:$F,4,FALSE)</f>
        <v>Lahore</v>
      </c>
      <c r="J30" s="9" t="str">
        <f>VLOOKUP(A30,Sheet9!$A:$F,5,FALSE)</f>
        <v>Punjab</v>
      </c>
      <c r="K30" s="9" t="str">
        <f>VLOOKUP(A30,Sheet9!$A:$F,6,FALSE)</f>
        <v>For Sale</v>
      </c>
      <c r="L30" s="9">
        <f t="shared" si="0"/>
        <v>2</v>
      </c>
    </row>
    <row r="31" spans="1:12" ht="29.5" thickBot="1">
      <c r="A31" s="31">
        <v>919906</v>
      </c>
      <c r="B31" s="35">
        <v>3041</v>
      </c>
      <c r="C31" s="35" t="s">
        <v>155</v>
      </c>
      <c r="D31" s="35">
        <v>3</v>
      </c>
      <c r="E31" s="35">
        <v>3</v>
      </c>
      <c r="F31" s="36">
        <v>43637</v>
      </c>
      <c r="G31" s="9">
        <f>VLOOKUP(A31,Sheet9!$A:$F,2,FALSE)</f>
        <v>33000</v>
      </c>
      <c r="H31" s="9" t="str">
        <f>VLOOKUP(A31,Sheet9!$A:$F,3,FALSE )</f>
        <v>Bahria Town Rawalpindi</v>
      </c>
      <c r="I31" s="9" t="str">
        <f>VLOOKUP(A31,Sheet9!$A:$F,4,FALSE)</f>
        <v>Rawalpindi</v>
      </c>
      <c r="J31" s="9" t="str">
        <f>VLOOKUP(A31,Sheet9!$A:$F,5,FALSE)</f>
        <v>Punjab</v>
      </c>
      <c r="K31" s="9" t="str">
        <f>VLOOKUP(A31,Sheet9!$A:$F,6,FALSE)</f>
        <v>For Rent</v>
      </c>
      <c r="L31" s="9">
        <f t="shared" si="0"/>
        <v>2</v>
      </c>
    </row>
    <row r="32" spans="1:12" ht="15" thickBot="1">
      <c r="A32" s="31">
        <v>934724</v>
      </c>
      <c r="B32" s="35">
        <v>3041</v>
      </c>
      <c r="C32" s="35" t="s">
        <v>153</v>
      </c>
      <c r="D32" s="35">
        <v>8</v>
      </c>
      <c r="E32" s="35">
        <v>6</v>
      </c>
      <c r="F32" s="36">
        <v>43650</v>
      </c>
      <c r="G32" s="9">
        <f>VLOOKUP(A32,Sheet9!$A:$F,2,FALSE)</f>
        <v>40000000</v>
      </c>
      <c r="H32" s="9" t="str">
        <f>VLOOKUP(A32,Sheet9!$A:$F,3,FALSE )</f>
        <v>Bahria Town Rawalpindi</v>
      </c>
      <c r="I32" s="9" t="str">
        <f>VLOOKUP(A32,Sheet9!$A:$F,4,FALSE)</f>
        <v>Rawalpindi</v>
      </c>
      <c r="J32" s="9" t="str">
        <f>VLOOKUP(A32,Sheet9!$A:$F,5,FALSE)</f>
        <v>Punjab</v>
      </c>
      <c r="K32" s="9" t="str">
        <f>VLOOKUP(A32,Sheet9!$A:$F,6,FALSE)</f>
        <v>For Sale</v>
      </c>
      <c r="L32" s="9">
        <f t="shared" si="0"/>
        <v>2</v>
      </c>
    </row>
    <row r="33" spans="1:12" ht="15" thickBot="1">
      <c r="A33" s="31">
        <v>937975</v>
      </c>
      <c r="B33" s="35">
        <v>445</v>
      </c>
      <c r="C33" s="35" t="s">
        <v>153</v>
      </c>
      <c r="D33" s="35">
        <v>8</v>
      </c>
      <c r="E33" s="35">
        <v>8</v>
      </c>
      <c r="F33" s="36">
        <v>43469</v>
      </c>
      <c r="G33" s="9">
        <f>VLOOKUP(A33,Sheet9!$A:$F,2,FALSE)</f>
        <v>27000000</v>
      </c>
      <c r="H33" s="9" t="str">
        <f>VLOOKUP(A33,Sheet9!$A:$F,3,FALSE )</f>
        <v>Korang Town</v>
      </c>
      <c r="I33" s="9" t="str">
        <f>VLOOKUP(A33,Sheet9!$A:$F,4,FALSE)</f>
        <v>Islamabad</v>
      </c>
      <c r="J33" s="9" t="str">
        <f>VLOOKUP(A33,Sheet9!$A:$F,5,FALSE)</f>
        <v>Islamabad Capital</v>
      </c>
      <c r="K33" s="9" t="str">
        <f>VLOOKUP(A33,Sheet9!$A:$F,6,FALSE)</f>
        <v>For Sale</v>
      </c>
      <c r="L33" s="9">
        <f t="shared" si="0"/>
        <v>3</v>
      </c>
    </row>
    <row r="34" spans="1:12" ht="15" thickBot="1">
      <c r="A34" s="31">
        <v>940203</v>
      </c>
      <c r="B34" s="35">
        <v>3048</v>
      </c>
      <c r="C34" s="35" t="s">
        <v>153</v>
      </c>
      <c r="D34" s="35">
        <v>4</v>
      </c>
      <c r="E34" s="35">
        <v>3</v>
      </c>
      <c r="F34" s="36">
        <v>43650</v>
      </c>
      <c r="G34" s="9">
        <f>VLOOKUP(A34,Sheet9!$A:$F,2,FALSE)</f>
        <v>9000000</v>
      </c>
      <c r="H34" s="9" t="str">
        <f>VLOOKUP(A34,Sheet9!$A:$F,3,FALSE )</f>
        <v>Bahria Town Rawalpindi</v>
      </c>
      <c r="I34" s="9" t="str">
        <f>VLOOKUP(A34,Sheet9!$A:$F,4,FALSE)</f>
        <v>Rawalpindi</v>
      </c>
      <c r="J34" s="9" t="str">
        <f>VLOOKUP(A34,Sheet9!$A:$F,5,FALSE)</f>
        <v>Punjab</v>
      </c>
      <c r="K34" s="9" t="str">
        <f>VLOOKUP(A34,Sheet9!$A:$F,6,FALSE)</f>
        <v>For Sale</v>
      </c>
      <c r="L34" s="9">
        <f t="shared" si="0"/>
        <v>2</v>
      </c>
    </row>
    <row r="35" spans="1:12" ht="29.5" thickBot="1">
      <c r="A35" s="31">
        <v>981663</v>
      </c>
      <c r="B35" s="35">
        <v>3349</v>
      </c>
      <c r="C35" s="35" t="s">
        <v>156</v>
      </c>
      <c r="D35" s="35">
        <v>2</v>
      </c>
      <c r="E35" s="35">
        <v>2</v>
      </c>
      <c r="F35" s="36">
        <v>43393</v>
      </c>
      <c r="G35" s="9">
        <f>VLOOKUP(A35,Sheet9!$A:$F,2,FALSE)</f>
        <v>33000</v>
      </c>
      <c r="H35" s="9" t="str">
        <f>VLOOKUP(A35,Sheet9!$A:$F,3,FALSE )</f>
        <v>G-15</v>
      </c>
      <c r="I35" s="9" t="str">
        <f>VLOOKUP(A35,Sheet9!$A:$F,4,FALSE)</f>
        <v>Islamabad</v>
      </c>
      <c r="J35" s="9" t="str">
        <f>VLOOKUP(A35,Sheet9!$A:$F,5,FALSE)</f>
        <v>Islamabad Capital</v>
      </c>
      <c r="K35" s="9" t="str">
        <f>VLOOKUP(A35,Sheet9!$A:$F,6,FALSE)</f>
        <v>For Rent</v>
      </c>
      <c r="L35" s="9">
        <f t="shared" si="0"/>
        <v>3</v>
      </c>
    </row>
    <row r="36" spans="1:12" ht="15" thickBot="1">
      <c r="A36" s="31">
        <v>983065</v>
      </c>
      <c r="B36" s="35">
        <v>3749</v>
      </c>
      <c r="C36" s="35" t="s">
        <v>153</v>
      </c>
      <c r="D36" s="35">
        <v>0</v>
      </c>
      <c r="E36" s="35">
        <v>5</v>
      </c>
      <c r="F36" s="36">
        <v>43649</v>
      </c>
      <c r="G36" s="9">
        <f>VLOOKUP(A36,Sheet9!$A:$F,2,FALSE)</f>
        <v>32500000</v>
      </c>
      <c r="H36" s="9" t="str">
        <f>VLOOKUP(A36,Sheet9!$A:$F,3,FALSE )</f>
        <v>EME Society</v>
      </c>
      <c r="I36" s="9" t="str">
        <f>VLOOKUP(A36,Sheet9!$A:$F,4,FALSE)</f>
        <v>Lahore</v>
      </c>
      <c r="J36" s="9" t="str">
        <f>VLOOKUP(A36,Sheet9!$A:$F,5,FALSE)</f>
        <v>Punjab</v>
      </c>
      <c r="K36" s="9" t="str">
        <f>VLOOKUP(A36,Sheet9!$A:$F,6,FALSE)</f>
        <v>For Sale</v>
      </c>
      <c r="L36" s="9">
        <f t="shared" si="0"/>
        <v>2</v>
      </c>
    </row>
    <row r="37" spans="1:12" ht="15" thickBot="1">
      <c r="A37" s="31">
        <v>983066</v>
      </c>
      <c r="B37" s="35">
        <v>3745</v>
      </c>
      <c r="C37" s="35" t="s">
        <v>153</v>
      </c>
      <c r="D37" s="35">
        <v>0</v>
      </c>
      <c r="E37" s="35">
        <v>6</v>
      </c>
      <c r="F37" s="36">
        <v>43649</v>
      </c>
      <c r="G37" s="9">
        <f>VLOOKUP(A37,Sheet9!$A:$F,2,FALSE)</f>
        <v>31500000</v>
      </c>
      <c r="H37" s="9" t="str">
        <f>VLOOKUP(A37,Sheet9!$A:$F,3,FALSE )</f>
        <v>EME Society</v>
      </c>
      <c r="I37" s="9" t="str">
        <f>VLOOKUP(A37,Sheet9!$A:$F,4,FALSE)</f>
        <v>Lahore</v>
      </c>
      <c r="J37" s="9" t="str">
        <f>VLOOKUP(A37,Sheet9!$A:$F,5,FALSE)</f>
        <v>Punjab</v>
      </c>
      <c r="K37" s="9" t="str">
        <f>VLOOKUP(A37,Sheet9!$A:$F,6,FALSE)</f>
        <v>For Sale</v>
      </c>
      <c r="L37" s="9">
        <f t="shared" si="0"/>
        <v>2</v>
      </c>
    </row>
    <row r="38" spans="1:12" ht="15" thickBot="1">
      <c r="A38" s="31">
        <v>983075</v>
      </c>
      <c r="B38" s="35">
        <v>3931</v>
      </c>
      <c r="C38" s="35" t="s">
        <v>153</v>
      </c>
      <c r="D38" s="35">
        <v>0</v>
      </c>
      <c r="E38" s="35">
        <v>6</v>
      </c>
      <c r="F38" s="36">
        <v>43649</v>
      </c>
      <c r="G38" s="9">
        <f>VLOOKUP(A38,Sheet9!$A:$F,2,FALSE)</f>
        <v>40000000</v>
      </c>
      <c r="H38" s="9" t="str">
        <f>VLOOKUP(A38,Sheet9!$A:$F,3,FALSE )</f>
        <v>Izmir Town</v>
      </c>
      <c r="I38" s="9" t="str">
        <f>VLOOKUP(A38,Sheet9!$A:$F,4,FALSE)</f>
        <v>Lahore</v>
      </c>
      <c r="J38" s="9" t="str">
        <f>VLOOKUP(A38,Sheet9!$A:$F,5,FALSE)</f>
        <v>Punjab</v>
      </c>
      <c r="K38" s="9" t="str">
        <f>VLOOKUP(A38,Sheet9!$A:$F,6,FALSE)</f>
        <v>For Sale</v>
      </c>
      <c r="L38" s="9">
        <f t="shared" si="0"/>
        <v>2</v>
      </c>
    </row>
    <row r="39" spans="1:12" ht="15" thickBot="1">
      <c r="A39" s="31">
        <v>998953</v>
      </c>
      <c r="B39" s="35">
        <v>1312</v>
      </c>
      <c r="C39" s="35" t="s">
        <v>153</v>
      </c>
      <c r="D39" s="35">
        <v>0</v>
      </c>
      <c r="E39" s="35">
        <v>0</v>
      </c>
      <c r="F39" s="36">
        <v>43410</v>
      </c>
      <c r="G39" s="9">
        <f>VLOOKUP(A39,Sheet9!$A:$F,2,FALSE)</f>
        <v>12800000</v>
      </c>
      <c r="H39" s="9" t="str">
        <f>VLOOKUP(A39,Sheet9!$A:$F,3,FALSE )</f>
        <v>Chaklala Scheme</v>
      </c>
      <c r="I39" s="9" t="str">
        <f>VLOOKUP(A39,Sheet9!$A:$F,4,FALSE)</f>
        <v>Rawalpindi</v>
      </c>
      <c r="J39" s="9" t="str">
        <f>VLOOKUP(A39,Sheet9!$A:$F,5,FALSE)</f>
        <v>Punjab</v>
      </c>
      <c r="K39" s="9" t="str">
        <f>VLOOKUP(A39,Sheet9!$A:$F,6,FALSE)</f>
        <v>For Sale</v>
      </c>
      <c r="L39" s="9">
        <f t="shared" si="0"/>
        <v>2</v>
      </c>
    </row>
    <row r="40" spans="1:12" ht="15" thickBot="1">
      <c r="A40" s="31">
        <v>1010365</v>
      </c>
      <c r="B40" s="35">
        <v>1674</v>
      </c>
      <c r="C40" s="35" t="s">
        <v>153</v>
      </c>
      <c r="D40" s="35">
        <v>4</v>
      </c>
      <c r="E40" s="35">
        <v>4</v>
      </c>
      <c r="F40" s="36">
        <v>43636</v>
      </c>
      <c r="G40" s="9">
        <f>VLOOKUP(A40,Sheet9!$A:$F,2,FALSE)</f>
        <v>32000000</v>
      </c>
      <c r="H40" s="9" t="str">
        <f>VLOOKUP(A40,Sheet9!$A:$F,3,FALSE )</f>
        <v>DHA Defence</v>
      </c>
      <c r="I40" s="9" t="str">
        <f>VLOOKUP(A40,Sheet9!$A:$F,4,FALSE)</f>
        <v>Karachi</v>
      </c>
      <c r="J40" s="9" t="str">
        <f>VLOOKUP(A40,Sheet9!$A:$F,5,FALSE)</f>
        <v>Sindh</v>
      </c>
      <c r="K40" s="9" t="str">
        <f>VLOOKUP(A40,Sheet9!$A:$F,6,FALSE)</f>
        <v>For Sale</v>
      </c>
      <c r="L40" s="9">
        <f t="shared" si="0"/>
        <v>1</v>
      </c>
    </row>
    <row r="41" spans="1:12" ht="15" thickBot="1">
      <c r="A41" s="31">
        <v>1078747</v>
      </c>
      <c r="B41" s="35">
        <v>3036</v>
      </c>
      <c r="C41" s="35" t="s">
        <v>153</v>
      </c>
      <c r="D41" s="35">
        <v>7</v>
      </c>
      <c r="E41" s="35">
        <v>6</v>
      </c>
      <c r="F41" s="36">
        <v>43649</v>
      </c>
      <c r="G41" s="9">
        <f>VLOOKUP(A41,Sheet9!$A:$F,2,FALSE)</f>
        <v>110000</v>
      </c>
      <c r="H41" s="9" t="str">
        <f>VLOOKUP(A41,Sheet9!$A:$F,3,FALSE )</f>
        <v>Bahria Town Rawalpindi</v>
      </c>
      <c r="I41" s="9" t="str">
        <f>VLOOKUP(A41,Sheet9!$A:$F,4,FALSE)</f>
        <v>Rawalpindi</v>
      </c>
      <c r="J41" s="9" t="str">
        <f>VLOOKUP(A41,Sheet9!$A:$F,5,FALSE)</f>
        <v>Punjab</v>
      </c>
      <c r="K41" s="9" t="str">
        <f>VLOOKUP(A41,Sheet9!$A:$F,6,FALSE)</f>
        <v>For Rent</v>
      </c>
      <c r="L41" s="9">
        <f t="shared" si="0"/>
        <v>2</v>
      </c>
    </row>
    <row r="42" spans="1:12" ht="15" thickBot="1">
      <c r="A42" s="31">
        <v>1078877</v>
      </c>
      <c r="B42" s="35">
        <v>3041</v>
      </c>
      <c r="C42" s="35" t="s">
        <v>153</v>
      </c>
      <c r="D42" s="35">
        <v>6</v>
      </c>
      <c r="E42" s="35">
        <v>5</v>
      </c>
      <c r="F42" s="36">
        <v>43649</v>
      </c>
      <c r="G42" s="9">
        <f>VLOOKUP(A42,Sheet9!$A:$F,2,FALSE)</f>
        <v>60000</v>
      </c>
      <c r="H42" s="9" t="str">
        <f>VLOOKUP(A42,Sheet9!$A:$F,3,FALSE )</f>
        <v>Bahria Town Rawalpindi</v>
      </c>
      <c r="I42" s="9" t="str">
        <f>VLOOKUP(A42,Sheet9!$A:$F,4,FALSE)</f>
        <v>Rawalpindi</v>
      </c>
      <c r="J42" s="9" t="str">
        <f>VLOOKUP(A42,Sheet9!$A:$F,5,FALSE)</f>
        <v>Punjab</v>
      </c>
      <c r="K42" s="9" t="str">
        <f>VLOOKUP(A42,Sheet9!$A:$F,6,FALSE)</f>
        <v>For Rent</v>
      </c>
      <c r="L42" s="9">
        <f t="shared" si="0"/>
        <v>2</v>
      </c>
    </row>
    <row r="43" spans="1:12" ht="15" thickBot="1">
      <c r="A43" s="31">
        <v>1097917</v>
      </c>
      <c r="B43" s="35">
        <v>7132</v>
      </c>
      <c r="C43" s="35" t="s">
        <v>153</v>
      </c>
      <c r="D43" s="35">
        <v>3</v>
      </c>
      <c r="E43" s="35">
        <v>7</v>
      </c>
      <c r="F43" s="36">
        <v>43393</v>
      </c>
      <c r="G43" s="9">
        <f>VLOOKUP(A43,Sheet9!$A:$F,2,FALSE)</f>
        <v>4000000</v>
      </c>
      <c r="H43" s="9" t="str">
        <f>VLOOKUP(A43,Sheet9!$A:$F,3,FALSE )</f>
        <v>Malir</v>
      </c>
      <c r="I43" s="9" t="str">
        <f>VLOOKUP(A43,Sheet9!$A:$F,4,FALSE)</f>
        <v>Karachi</v>
      </c>
      <c r="J43" s="9" t="str">
        <f>VLOOKUP(A43,Sheet9!$A:$F,5,FALSE)</f>
        <v>Sindh</v>
      </c>
      <c r="K43" s="9" t="str">
        <f>VLOOKUP(A43,Sheet9!$A:$F,6,FALSE)</f>
        <v>For Sale</v>
      </c>
      <c r="L43" s="9">
        <f t="shared" si="0"/>
        <v>1</v>
      </c>
    </row>
    <row r="44" spans="1:12" ht="29.5" thickBot="1">
      <c r="A44" s="31">
        <v>1199301</v>
      </c>
      <c r="B44" s="35">
        <v>3047</v>
      </c>
      <c r="C44" s="35" t="s">
        <v>155</v>
      </c>
      <c r="D44" s="35">
        <v>3</v>
      </c>
      <c r="E44" s="35">
        <v>3</v>
      </c>
      <c r="F44" s="36">
        <v>43393</v>
      </c>
      <c r="G44" s="9">
        <f>VLOOKUP(A44,Sheet9!$A:$F,2,FALSE)</f>
        <v>50000</v>
      </c>
      <c r="H44" s="9" t="str">
        <f>VLOOKUP(A44,Sheet9!$A:$F,3,FALSE )</f>
        <v>Bahria Town Rawalpindi</v>
      </c>
      <c r="I44" s="9" t="str">
        <f>VLOOKUP(A44,Sheet9!$A:$F,4,FALSE)</f>
        <v>Rawalpindi</v>
      </c>
      <c r="J44" s="9" t="str">
        <f>VLOOKUP(A44,Sheet9!$A:$F,5,FALSE)</f>
        <v>Punjab</v>
      </c>
      <c r="K44" s="9" t="str">
        <f>VLOOKUP(A44,Sheet9!$A:$F,6,FALSE)</f>
        <v>For Rent</v>
      </c>
      <c r="L44" s="9">
        <f t="shared" si="0"/>
        <v>2</v>
      </c>
    </row>
    <row r="45" spans="1:12" ht="15" thickBot="1">
      <c r="A45" s="31">
        <v>1232114</v>
      </c>
      <c r="B45" s="35">
        <v>3046</v>
      </c>
      <c r="C45" s="35" t="s">
        <v>153</v>
      </c>
      <c r="D45" s="35">
        <v>8</v>
      </c>
      <c r="E45" s="35">
        <v>6</v>
      </c>
      <c r="F45" s="36">
        <v>43651</v>
      </c>
      <c r="G45" s="9">
        <f>VLOOKUP(A45,Sheet9!$A:$F,2,FALSE)</f>
        <v>37000000</v>
      </c>
      <c r="H45" s="9" t="str">
        <f>VLOOKUP(A45,Sheet9!$A:$F,3,FALSE )</f>
        <v>Bahria Town Rawalpindi</v>
      </c>
      <c r="I45" s="9" t="str">
        <f>VLOOKUP(A45,Sheet9!$A:$F,4,FALSE)</f>
        <v>Rawalpindi</v>
      </c>
      <c r="J45" s="9" t="str">
        <f>VLOOKUP(A45,Sheet9!$A:$F,5,FALSE)</f>
        <v>Punjab</v>
      </c>
      <c r="K45" s="9" t="str">
        <f>VLOOKUP(A45,Sheet9!$A:$F,6,FALSE)</f>
        <v>For Sale</v>
      </c>
      <c r="L45" s="9">
        <f t="shared" si="0"/>
        <v>2</v>
      </c>
    </row>
    <row r="46" spans="1:12" ht="15" thickBot="1">
      <c r="A46" s="31">
        <v>1236447</v>
      </c>
      <c r="B46" s="35">
        <v>3047</v>
      </c>
      <c r="C46" s="35" t="s">
        <v>153</v>
      </c>
      <c r="D46" s="35">
        <v>5</v>
      </c>
      <c r="E46" s="35">
        <v>5</v>
      </c>
      <c r="F46" s="36">
        <v>43656</v>
      </c>
      <c r="G46" s="9">
        <f>VLOOKUP(A46,Sheet9!$A:$F,2,FALSE)</f>
        <v>70000</v>
      </c>
      <c r="H46" s="9" t="str">
        <f>VLOOKUP(A46,Sheet9!$A:$F,3,FALSE )</f>
        <v>Bahria Town Rawalpindi</v>
      </c>
      <c r="I46" s="9" t="str">
        <f>VLOOKUP(A46,Sheet9!$A:$F,4,FALSE)</f>
        <v>Rawalpindi</v>
      </c>
      <c r="J46" s="9" t="str">
        <f>VLOOKUP(A46,Sheet9!$A:$F,5,FALSE)</f>
        <v>Punjab</v>
      </c>
      <c r="K46" s="9" t="str">
        <f>VLOOKUP(A46,Sheet9!$A:$F,6,FALSE)</f>
        <v>For Rent</v>
      </c>
      <c r="L46" s="9">
        <f t="shared" si="0"/>
        <v>2</v>
      </c>
    </row>
    <row r="47" spans="1:12" ht="15" thickBot="1">
      <c r="A47" s="31">
        <v>1253008</v>
      </c>
      <c r="B47" s="35">
        <v>3045</v>
      </c>
      <c r="C47" s="35" t="s">
        <v>153</v>
      </c>
      <c r="D47" s="35">
        <v>6</v>
      </c>
      <c r="E47" s="35">
        <v>5</v>
      </c>
      <c r="F47" s="36">
        <v>43651</v>
      </c>
      <c r="G47" s="9">
        <f>VLOOKUP(A47,Sheet9!$A:$F,2,FALSE)</f>
        <v>23000000</v>
      </c>
      <c r="H47" s="9" t="str">
        <f>VLOOKUP(A47,Sheet9!$A:$F,3,FALSE )</f>
        <v>Bahria Town Rawalpindi</v>
      </c>
      <c r="I47" s="9" t="str">
        <f>VLOOKUP(A47,Sheet9!$A:$F,4,FALSE)</f>
        <v>Rawalpindi</v>
      </c>
      <c r="J47" s="9" t="str">
        <f>VLOOKUP(A47,Sheet9!$A:$F,5,FALSE)</f>
        <v>Punjab</v>
      </c>
      <c r="K47" s="9" t="str">
        <f>VLOOKUP(A47,Sheet9!$A:$F,6,FALSE)</f>
        <v>For Sale</v>
      </c>
      <c r="L47" s="9">
        <f t="shared" si="0"/>
        <v>2</v>
      </c>
    </row>
    <row r="48" spans="1:12" ht="15" thickBot="1">
      <c r="A48" s="31">
        <v>1258636</v>
      </c>
      <c r="B48" s="35">
        <v>3241</v>
      </c>
      <c r="C48" s="35" t="s">
        <v>154</v>
      </c>
      <c r="D48" s="35">
        <v>2</v>
      </c>
      <c r="E48" s="35">
        <v>2</v>
      </c>
      <c r="F48" s="36">
        <v>43590</v>
      </c>
      <c r="G48" s="9">
        <f>VLOOKUP(A48,Sheet9!$A:$F,2,FALSE)</f>
        <v>7800000</v>
      </c>
      <c r="H48" s="9" t="str">
        <f>VLOOKUP(A48,Sheet9!$A:$F,3,FALSE )</f>
        <v>E-11</v>
      </c>
      <c r="I48" s="9" t="str">
        <f>VLOOKUP(A48,Sheet9!$A:$F,4,FALSE)</f>
        <v>Islamabad</v>
      </c>
      <c r="J48" s="9" t="str">
        <f>VLOOKUP(A48,Sheet9!$A:$F,5,FALSE)</f>
        <v>Islamabad Capital</v>
      </c>
      <c r="K48" s="9" t="str">
        <f>VLOOKUP(A48,Sheet9!$A:$F,6,FALSE)</f>
        <v>For Sale</v>
      </c>
      <c r="L48" s="9">
        <f t="shared" si="0"/>
        <v>3</v>
      </c>
    </row>
    <row r="49" spans="1:12" ht="15" thickBot="1">
      <c r="A49" s="31">
        <v>1260475</v>
      </c>
      <c r="B49" s="35">
        <v>6861</v>
      </c>
      <c r="C49" s="35" t="s">
        <v>154</v>
      </c>
      <c r="D49" s="35">
        <v>4</v>
      </c>
      <c r="E49" s="35">
        <v>4</v>
      </c>
      <c r="F49" s="36">
        <v>43621</v>
      </c>
      <c r="G49" s="9">
        <f>VLOOKUP(A49,Sheet9!$A:$F,2,FALSE)</f>
        <v>16500000</v>
      </c>
      <c r="H49" s="9" t="str">
        <f>VLOOKUP(A49,Sheet9!$A:$F,3,FALSE )</f>
        <v>Gulshan-e-Iqbal Town</v>
      </c>
      <c r="I49" s="9" t="str">
        <f>VLOOKUP(A49,Sheet9!$A:$F,4,FALSE)</f>
        <v>Karachi</v>
      </c>
      <c r="J49" s="9" t="str">
        <f>VLOOKUP(A49,Sheet9!$A:$F,5,FALSE)</f>
        <v>Sindh</v>
      </c>
      <c r="K49" s="9" t="str">
        <f>VLOOKUP(A49,Sheet9!$A:$F,6,FALSE)</f>
        <v>For Sale</v>
      </c>
      <c r="L49" s="9">
        <f t="shared" si="0"/>
        <v>1</v>
      </c>
    </row>
    <row r="50" spans="1:12" ht="15" thickBot="1">
      <c r="A50" s="31">
        <v>1273436</v>
      </c>
      <c r="B50" s="35">
        <v>3035</v>
      </c>
      <c r="C50" s="35" t="s">
        <v>153</v>
      </c>
      <c r="D50" s="35">
        <v>7</v>
      </c>
      <c r="E50" s="35">
        <v>6</v>
      </c>
      <c r="F50" s="36">
        <v>43651</v>
      </c>
      <c r="G50" s="9">
        <f>VLOOKUP(A50,Sheet9!$A:$F,2,FALSE)</f>
        <v>39500000</v>
      </c>
      <c r="H50" s="9" t="str">
        <f>VLOOKUP(A50,Sheet9!$A:$F,3,FALSE )</f>
        <v>Bahria Town Rawalpindi</v>
      </c>
      <c r="I50" s="9" t="str">
        <f>VLOOKUP(A50,Sheet9!$A:$F,4,FALSE)</f>
        <v>Rawalpindi</v>
      </c>
      <c r="J50" s="9" t="str">
        <f>VLOOKUP(A50,Sheet9!$A:$F,5,FALSE)</f>
        <v>Punjab</v>
      </c>
      <c r="K50" s="9" t="str">
        <f>VLOOKUP(A50,Sheet9!$A:$F,6,FALSE)</f>
        <v>For Sale</v>
      </c>
      <c r="L50" s="9">
        <f t="shared" si="0"/>
        <v>2</v>
      </c>
    </row>
    <row r="51" spans="1:12" ht="15" thickBot="1">
      <c r="A51" s="31">
        <v>1286643</v>
      </c>
      <c r="B51" s="35">
        <v>3733</v>
      </c>
      <c r="C51" s="35" t="s">
        <v>153</v>
      </c>
      <c r="D51" s="35">
        <v>4</v>
      </c>
      <c r="E51" s="35">
        <v>4</v>
      </c>
      <c r="F51" s="36">
        <v>43559</v>
      </c>
      <c r="G51" s="9">
        <f>VLOOKUP(A51,Sheet9!$A:$F,2,FALSE)</f>
        <v>13500000</v>
      </c>
      <c r="H51" s="9" t="str">
        <f>VLOOKUP(A51,Sheet9!$A:$F,3,FALSE )</f>
        <v>Eden</v>
      </c>
      <c r="I51" s="9" t="str">
        <f>VLOOKUP(A51,Sheet9!$A:$F,4,FALSE)</f>
        <v>Lahore</v>
      </c>
      <c r="J51" s="9" t="str">
        <f>VLOOKUP(A51,Sheet9!$A:$F,5,FALSE)</f>
        <v>Punjab</v>
      </c>
      <c r="K51" s="9" t="str">
        <f>VLOOKUP(A51,Sheet9!$A:$F,6,FALSE)</f>
        <v>For Sale</v>
      </c>
      <c r="L51" s="9">
        <f t="shared" si="0"/>
        <v>2</v>
      </c>
    </row>
    <row r="52" spans="1:12" ht="15" thickBot="1">
      <c r="A52" s="31">
        <v>1298962</v>
      </c>
      <c r="B52" s="35">
        <v>3046</v>
      </c>
      <c r="C52" s="35" t="s">
        <v>153</v>
      </c>
      <c r="D52" s="35">
        <v>7</v>
      </c>
      <c r="E52" s="35">
        <v>5</v>
      </c>
      <c r="F52" s="36">
        <v>43651</v>
      </c>
      <c r="G52" s="9">
        <f>VLOOKUP(A52,Sheet9!$A:$F,2,FALSE)</f>
        <v>21000000</v>
      </c>
      <c r="H52" s="9" t="str">
        <f>VLOOKUP(A52,Sheet9!$A:$F,3,FALSE )</f>
        <v>Bahria Town Rawalpindi</v>
      </c>
      <c r="I52" s="9" t="str">
        <f>VLOOKUP(A52,Sheet9!$A:$F,4,FALSE)</f>
        <v>Rawalpindi</v>
      </c>
      <c r="J52" s="9" t="str">
        <f>VLOOKUP(A52,Sheet9!$A:$F,5,FALSE)</f>
        <v>Punjab</v>
      </c>
      <c r="K52" s="9" t="str">
        <f>VLOOKUP(A52,Sheet9!$A:$F,6,FALSE)</f>
        <v>For Sale</v>
      </c>
      <c r="L52" s="9">
        <f t="shared" si="0"/>
        <v>2</v>
      </c>
    </row>
    <row r="53" spans="1:12" ht="15" thickBot="1">
      <c r="A53" s="31">
        <v>1304761</v>
      </c>
      <c r="B53" s="35">
        <v>9036</v>
      </c>
      <c r="C53" s="35" t="s">
        <v>154</v>
      </c>
      <c r="D53" s="35">
        <v>2</v>
      </c>
      <c r="E53" s="35">
        <v>2</v>
      </c>
      <c r="F53" s="36">
        <v>43393</v>
      </c>
      <c r="G53" s="9">
        <f>VLOOKUP(A53,Sheet9!$A:$F,2,FALSE)</f>
        <v>22000</v>
      </c>
      <c r="H53" s="9" t="str">
        <f>VLOOKUP(A53,Sheet9!$A:$F,3,FALSE )</f>
        <v>Bahria Town Rawalpindi</v>
      </c>
      <c r="I53" s="9" t="str">
        <f>VLOOKUP(A53,Sheet9!$A:$F,4,FALSE)</f>
        <v>Rawalpindi</v>
      </c>
      <c r="J53" s="9" t="str">
        <f>VLOOKUP(A53,Sheet9!$A:$F,5,FALSE)</f>
        <v>Punjab</v>
      </c>
      <c r="K53" s="9" t="str">
        <f>VLOOKUP(A53,Sheet9!$A:$F,6,FALSE)</f>
        <v>For Rent</v>
      </c>
      <c r="L53" s="9">
        <f t="shared" si="0"/>
        <v>2</v>
      </c>
    </row>
    <row r="54" spans="1:12" ht="15" thickBot="1">
      <c r="A54" s="31">
        <v>1402466</v>
      </c>
      <c r="B54" s="35">
        <v>376</v>
      </c>
      <c r="C54" s="35" t="s">
        <v>153</v>
      </c>
      <c r="D54" s="35">
        <v>7</v>
      </c>
      <c r="E54" s="35">
        <v>7</v>
      </c>
      <c r="F54" s="36">
        <v>43392</v>
      </c>
      <c r="G54" s="9">
        <f>VLOOKUP(A54,Sheet9!$A:$F,2,FALSE)</f>
        <v>50000000</v>
      </c>
      <c r="H54" s="9" t="str">
        <f>VLOOKUP(A54,Sheet9!$A:$F,3,FALSE )</f>
        <v>DHA Defence</v>
      </c>
      <c r="I54" s="9" t="str">
        <f>VLOOKUP(A54,Sheet9!$A:$F,4,FALSE)</f>
        <v>Islamabad</v>
      </c>
      <c r="J54" s="9" t="str">
        <f>VLOOKUP(A54,Sheet9!$A:$F,5,FALSE)</f>
        <v>Islamabad Capital</v>
      </c>
      <c r="K54" s="9" t="str">
        <f>VLOOKUP(A54,Sheet9!$A:$F,6,FALSE)</f>
        <v>For Sale</v>
      </c>
      <c r="L54" s="9">
        <f t="shared" si="0"/>
        <v>3</v>
      </c>
    </row>
    <row r="55" spans="1:12" ht="15" thickBot="1">
      <c r="A55" s="31">
        <v>1402499</v>
      </c>
      <c r="B55" s="35">
        <v>3035</v>
      </c>
      <c r="C55" s="35" t="s">
        <v>153</v>
      </c>
      <c r="D55" s="35">
        <v>5</v>
      </c>
      <c r="E55" s="35">
        <v>5</v>
      </c>
      <c r="F55" s="36">
        <v>43392</v>
      </c>
      <c r="G55" s="9">
        <f>VLOOKUP(A55,Sheet9!$A:$F,2,FALSE)</f>
        <v>37000000</v>
      </c>
      <c r="H55" s="9" t="str">
        <f>VLOOKUP(A55,Sheet9!$A:$F,3,FALSE )</f>
        <v>Bahria Town Rawalpindi</v>
      </c>
      <c r="I55" s="9" t="str">
        <f>VLOOKUP(A55,Sheet9!$A:$F,4,FALSE)</f>
        <v>Rawalpindi</v>
      </c>
      <c r="J55" s="9" t="str">
        <f>VLOOKUP(A55,Sheet9!$A:$F,5,FALSE)</f>
        <v>Punjab</v>
      </c>
      <c r="K55" s="9" t="str">
        <f>VLOOKUP(A55,Sheet9!$A:$F,6,FALSE)</f>
        <v>For Sale</v>
      </c>
      <c r="L55" s="9">
        <f t="shared" si="0"/>
        <v>2</v>
      </c>
    </row>
    <row r="56" spans="1:12" ht="15" thickBot="1">
      <c r="A56" s="31">
        <v>1402784</v>
      </c>
      <c r="B56" s="35">
        <v>514</v>
      </c>
      <c r="C56" s="35" t="s">
        <v>153</v>
      </c>
      <c r="D56" s="35">
        <v>5</v>
      </c>
      <c r="E56" s="35">
        <v>4</v>
      </c>
      <c r="F56" s="36">
        <v>43646</v>
      </c>
      <c r="G56" s="9">
        <f>VLOOKUP(A56,Sheet9!$A:$F,2,FALSE)</f>
        <v>87500000</v>
      </c>
      <c r="H56" s="9" t="str">
        <f>VLOOKUP(A56,Sheet9!$A:$F,3,FALSE )</f>
        <v>Upper Mall</v>
      </c>
      <c r="I56" s="9" t="str">
        <f>VLOOKUP(A56,Sheet9!$A:$F,4,FALSE)</f>
        <v>Lahore</v>
      </c>
      <c r="J56" s="9" t="str">
        <f>VLOOKUP(A56,Sheet9!$A:$F,5,FALSE)</f>
        <v>Punjab</v>
      </c>
      <c r="K56" s="9" t="str">
        <f>VLOOKUP(A56,Sheet9!$A:$F,6,FALSE)</f>
        <v>For Sale</v>
      </c>
      <c r="L56" s="9">
        <f t="shared" si="0"/>
        <v>2</v>
      </c>
    </row>
    <row r="57" spans="1:12" ht="15" thickBot="1">
      <c r="A57" s="31">
        <v>1415183</v>
      </c>
      <c r="B57" s="35">
        <v>3082</v>
      </c>
      <c r="C57" s="35" t="s">
        <v>153</v>
      </c>
      <c r="D57" s="35">
        <v>7</v>
      </c>
      <c r="E57" s="35">
        <v>6</v>
      </c>
      <c r="F57" s="36">
        <v>43651</v>
      </c>
      <c r="G57" s="9">
        <f>VLOOKUP(A57,Sheet9!$A:$F,2,FALSE)</f>
        <v>37000000</v>
      </c>
      <c r="H57" s="9" t="str">
        <f>VLOOKUP(A57,Sheet9!$A:$F,3,FALSE )</f>
        <v>Bahria Town Rawalpindi</v>
      </c>
      <c r="I57" s="9" t="str">
        <f>VLOOKUP(A57,Sheet9!$A:$F,4,FALSE)</f>
        <v>Rawalpindi</v>
      </c>
      <c r="J57" s="9" t="str">
        <f>VLOOKUP(A57,Sheet9!$A:$F,5,FALSE)</f>
        <v>Punjab</v>
      </c>
      <c r="K57" s="9" t="str">
        <f>VLOOKUP(A57,Sheet9!$A:$F,6,FALSE)</f>
        <v>For Sale</v>
      </c>
      <c r="L57" s="9">
        <f t="shared" si="0"/>
        <v>2</v>
      </c>
    </row>
    <row r="58" spans="1:12" ht="15" thickBot="1">
      <c r="A58" s="31">
        <v>1418706</v>
      </c>
      <c r="B58" s="35">
        <v>3282</v>
      </c>
      <c r="C58" s="35" t="s">
        <v>157</v>
      </c>
      <c r="D58" s="35">
        <v>5</v>
      </c>
      <c r="E58" s="35">
        <v>5</v>
      </c>
      <c r="F58" s="36">
        <v>43643</v>
      </c>
      <c r="G58" s="9">
        <f>VLOOKUP(A58,Sheet9!$A:$F,2,FALSE)</f>
        <v>40000000</v>
      </c>
      <c r="H58" s="9" t="str">
        <f>VLOOKUP(A58,Sheet9!$A:$F,3,FALSE )</f>
        <v>F-11</v>
      </c>
      <c r="I58" s="9" t="str">
        <f>VLOOKUP(A58,Sheet9!$A:$F,4,FALSE)</f>
        <v>Islamabad</v>
      </c>
      <c r="J58" s="9" t="str">
        <f>VLOOKUP(A58,Sheet9!$A:$F,5,FALSE)</f>
        <v>Islamabad Capital</v>
      </c>
      <c r="K58" s="9" t="str">
        <f>VLOOKUP(A58,Sheet9!$A:$F,6,FALSE)</f>
        <v>For Sale</v>
      </c>
      <c r="L58" s="9">
        <f t="shared" si="0"/>
        <v>3</v>
      </c>
    </row>
    <row r="59" spans="1:12" ht="15" thickBot="1">
      <c r="A59" s="31">
        <v>1422699</v>
      </c>
      <c r="B59" s="35">
        <v>1156</v>
      </c>
      <c r="C59" s="35" t="s">
        <v>153</v>
      </c>
      <c r="D59" s="35">
        <v>5</v>
      </c>
      <c r="E59" s="35">
        <v>4</v>
      </c>
      <c r="F59" s="36">
        <v>43663</v>
      </c>
      <c r="G59" s="9">
        <f>VLOOKUP(A59,Sheet9!$A:$F,2,FALSE)</f>
        <v>8500000</v>
      </c>
      <c r="H59" s="9" t="str">
        <f>VLOOKUP(A59,Sheet9!$A:$F,3,FALSE )</f>
        <v>Muslim Town</v>
      </c>
      <c r="I59" s="9" t="str">
        <f>VLOOKUP(A59,Sheet9!$A:$F,4,FALSE)</f>
        <v>Faisalabad</v>
      </c>
      <c r="J59" s="9" t="str">
        <f>VLOOKUP(A59,Sheet9!$A:$F,5,FALSE)</f>
        <v>Punjab</v>
      </c>
      <c r="K59" s="9" t="str">
        <f>VLOOKUP(A59,Sheet9!$A:$F,6,FALSE)</f>
        <v>For Sale</v>
      </c>
      <c r="L59" s="9">
        <f t="shared" si="0"/>
        <v>2</v>
      </c>
    </row>
    <row r="60" spans="1:12" ht="15" thickBot="1">
      <c r="A60" s="31">
        <v>1423085</v>
      </c>
      <c r="B60" s="35">
        <v>3046</v>
      </c>
      <c r="C60" s="35" t="s">
        <v>153</v>
      </c>
      <c r="D60" s="35">
        <v>7</v>
      </c>
      <c r="E60" s="35">
        <v>5</v>
      </c>
      <c r="F60" s="36">
        <v>43651</v>
      </c>
      <c r="G60" s="9">
        <f>VLOOKUP(A60,Sheet9!$A:$F,2,FALSE)</f>
        <v>37500000</v>
      </c>
      <c r="H60" s="9" t="str">
        <f>VLOOKUP(A60,Sheet9!$A:$F,3,FALSE )</f>
        <v>Bahria Town Rawalpindi</v>
      </c>
      <c r="I60" s="9" t="str">
        <f>VLOOKUP(A60,Sheet9!$A:$F,4,FALSE)</f>
        <v>Rawalpindi</v>
      </c>
      <c r="J60" s="9" t="str">
        <f>VLOOKUP(A60,Sheet9!$A:$F,5,FALSE)</f>
        <v>Punjab</v>
      </c>
      <c r="K60" s="9" t="str">
        <f>VLOOKUP(A60,Sheet9!$A:$F,6,FALSE)</f>
        <v>For Sale</v>
      </c>
      <c r="L60" s="9">
        <f t="shared" si="0"/>
        <v>2</v>
      </c>
    </row>
    <row r="61" spans="1:12" ht="15" thickBot="1">
      <c r="A61" s="31">
        <v>1425602</v>
      </c>
      <c r="B61" s="35">
        <v>429</v>
      </c>
      <c r="C61" s="35" t="s">
        <v>154</v>
      </c>
      <c r="D61" s="35">
        <v>3</v>
      </c>
      <c r="E61" s="35">
        <v>3</v>
      </c>
      <c r="F61" s="36">
        <v>43619</v>
      </c>
      <c r="G61" s="9">
        <f>VLOOKUP(A61,Sheet9!$A:$F,2,FALSE)</f>
        <v>35000000</v>
      </c>
      <c r="H61" s="9" t="str">
        <f>VLOOKUP(A61,Sheet9!$A:$F,3,FALSE )</f>
        <v>Diplomatic Enclave</v>
      </c>
      <c r="I61" s="9" t="str">
        <f>VLOOKUP(A61,Sheet9!$A:$F,4,FALSE)</f>
        <v>Islamabad</v>
      </c>
      <c r="J61" s="9" t="str">
        <f>VLOOKUP(A61,Sheet9!$A:$F,5,FALSE)</f>
        <v>Islamabad Capital</v>
      </c>
      <c r="K61" s="9" t="str">
        <f>VLOOKUP(A61,Sheet9!$A:$F,6,FALSE)</f>
        <v>For Sale</v>
      </c>
      <c r="L61" s="9">
        <f t="shared" si="0"/>
        <v>3</v>
      </c>
    </row>
    <row r="62" spans="1:12" ht="15" thickBot="1">
      <c r="A62" s="31">
        <v>1586658</v>
      </c>
      <c r="B62" s="35">
        <v>429</v>
      </c>
      <c r="C62" s="35" t="s">
        <v>154</v>
      </c>
      <c r="D62" s="35">
        <v>2</v>
      </c>
      <c r="E62" s="35">
        <v>2</v>
      </c>
      <c r="F62" s="36">
        <v>43500</v>
      </c>
      <c r="G62" s="9">
        <f>VLOOKUP(A62,Sheet9!$A:$F,2,FALSE)</f>
        <v>48000000</v>
      </c>
      <c r="H62" s="9" t="str">
        <f>VLOOKUP(A62,Sheet9!$A:$F,3,FALSE )</f>
        <v>Diplomatic Enclave</v>
      </c>
      <c r="I62" s="9" t="str">
        <f>VLOOKUP(A62,Sheet9!$A:$F,4,FALSE)</f>
        <v>Islamabad</v>
      </c>
      <c r="J62" s="9" t="str">
        <f>VLOOKUP(A62,Sheet9!$A:$F,5,FALSE)</f>
        <v>Islamabad Capital</v>
      </c>
      <c r="K62" s="9" t="str">
        <f>VLOOKUP(A62,Sheet9!$A:$F,6,FALSE)</f>
        <v>For Sale</v>
      </c>
      <c r="L62" s="9">
        <f t="shared" si="0"/>
        <v>3</v>
      </c>
    </row>
    <row r="63" spans="1:12" ht="15" thickBot="1">
      <c r="A63" s="31">
        <v>1594906</v>
      </c>
      <c r="B63" s="35">
        <v>8974</v>
      </c>
      <c r="C63" s="35" t="s">
        <v>154</v>
      </c>
      <c r="D63" s="35">
        <v>1</v>
      </c>
      <c r="E63" s="35">
        <v>1</v>
      </c>
      <c r="F63" s="36">
        <v>43636</v>
      </c>
      <c r="G63" s="9">
        <f>VLOOKUP(A63,Sheet9!$A:$F,2,FALSE)</f>
        <v>4800000</v>
      </c>
      <c r="H63" s="9" t="str">
        <f>VLOOKUP(A63,Sheet9!$A:$F,3,FALSE )</f>
        <v>Bahria Town Rawalpindi</v>
      </c>
      <c r="I63" s="9" t="str">
        <f>VLOOKUP(A63,Sheet9!$A:$F,4,FALSE)</f>
        <v>Rawalpindi</v>
      </c>
      <c r="J63" s="9" t="str">
        <f>VLOOKUP(A63,Sheet9!$A:$F,5,FALSE)</f>
        <v>Punjab</v>
      </c>
      <c r="K63" s="9" t="str">
        <f>VLOOKUP(A63,Sheet9!$A:$F,6,FALSE)</f>
        <v>For Sale</v>
      </c>
      <c r="L63" s="9">
        <f t="shared" si="0"/>
        <v>2</v>
      </c>
    </row>
    <row r="64" spans="1:12" ht="15" thickBot="1">
      <c r="A64" s="31">
        <v>1606710</v>
      </c>
      <c r="B64" s="35">
        <v>69</v>
      </c>
      <c r="C64" s="35" t="s">
        <v>153</v>
      </c>
      <c r="D64" s="35">
        <v>0</v>
      </c>
      <c r="E64" s="35">
        <v>4</v>
      </c>
      <c r="F64" s="36">
        <v>43559</v>
      </c>
      <c r="G64" s="9">
        <f>VLOOKUP(A64,Sheet9!$A:$F,2,FALSE)</f>
        <v>16500000</v>
      </c>
      <c r="H64" s="9" t="str">
        <f>VLOOKUP(A64,Sheet9!$A:$F,3,FALSE )</f>
        <v>Cavalry Ground</v>
      </c>
      <c r="I64" s="9" t="str">
        <f>VLOOKUP(A64,Sheet9!$A:$F,4,FALSE)</f>
        <v>Lahore</v>
      </c>
      <c r="J64" s="9" t="str">
        <f>VLOOKUP(A64,Sheet9!$A:$F,5,FALSE)</f>
        <v>Punjab</v>
      </c>
      <c r="K64" s="9" t="str">
        <f>VLOOKUP(A64,Sheet9!$A:$F,6,FALSE)</f>
        <v>For Sale</v>
      </c>
      <c r="L64" s="9">
        <f t="shared" si="0"/>
        <v>2</v>
      </c>
    </row>
    <row r="65" spans="1:12" ht="15" thickBot="1">
      <c r="A65" s="31">
        <v>1623818</v>
      </c>
      <c r="B65" s="35">
        <v>3300</v>
      </c>
      <c r="C65" s="35" t="s">
        <v>153</v>
      </c>
      <c r="D65" s="35">
        <v>0</v>
      </c>
      <c r="E65" s="35">
        <v>0</v>
      </c>
      <c r="F65" s="36">
        <v>43650</v>
      </c>
      <c r="G65" s="9">
        <f>VLOOKUP(A65,Sheet9!$A:$F,2,FALSE)</f>
        <v>400000000</v>
      </c>
      <c r="H65" s="9" t="str">
        <f>VLOOKUP(A65,Sheet9!$A:$F,3,FALSE )</f>
        <v>F-6</v>
      </c>
      <c r="I65" s="9" t="str">
        <f>VLOOKUP(A65,Sheet9!$A:$F,4,FALSE)</f>
        <v>Islamabad</v>
      </c>
      <c r="J65" s="9" t="str">
        <f>VLOOKUP(A65,Sheet9!$A:$F,5,FALSE)</f>
        <v>Islamabad Capital</v>
      </c>
      <c r="K65" s="9" t="str">
        <f>VLOOKUP(A65,Sheet9!$A:$F,6,FALSE)</f>
        <v>For Sale</v>
      </c>
      <c r="L65" s="9">
        <f t="shared" si="0"/>
        <v>3</v>
      </c>
    </row>
    <row r="66" spans="1:12" ht="15" thickBot="1">
      <c r="A66" s="31">
        <v>1631292</v>
      </c>
      <c r="B66" s="35">
        <v>1483</v>
      </c>
      <c r="C66" s="35" t="s">
        <v>153</v>
      </c>
      <c r="D66" s="35">
        <v>6</v>
      </c>
      <c r="E66" s="35">
        <v>6</v>
      </c>
      <c r="F66" s="36">
        <v>43591</v>
      </c>
      <c r="G66" s="9">
        <f>VLOOKUP(A66,Sheet9!$A:$F,2,FALSE)</f>
        <v>110000000</v>
      </c>
      <c r="H66" s="9" t="str">
        <f>VLOOKUP(A66,Sheet9!$A:$F,3,FALSE )</f>
        <v>DHA Defence</v>
      </c>
      <c r="I66" s="9" t="str">
        <f>VLOOKUP(A66,Sheet9!$A:$F,4,FALSE)</f>
        <v>Karachi</v>
      </c>
      <c r="J66" s="9" t="str">
        <f>VLOOKUP(A66,Sheet9!$A:$F,5,FALSE)</f>
        <v>Sindh</v>
      </c>
      <c r="K66" s="9" t="str">
        <f>VLOOKUP(A66,Sheet9!$A:$F,6,FALSE)</f>
        <v>For Sale</v>
      </c>
      <c r="L66" s="9">
        <f t="shared" si="0"/>
        <v>1</v>
      </c>
    </row>
    <row r="67" spans="1:12" ht="15" thickBot="1">
      <c r="A67" s="31">
        <v>1646880</v>
      </c>
      <c r="B67" s="35">
        <v>1781</v>
      </c>
      <c r="C67" s="35" t="s">
        <v>153</v>
      </c>
      <c r="D67" s="35">
        <v>0</v>
      </c>
      <c r="E67" s="35">
        <v>0</v>
      </c>
      <c r="F67" s="36">
        <v>43650</v>
      </c>
      <c r="G67" s="9">
        <f>VLOOKUP(A67,Sheet9!$A:$F,2,FALSE)</f>
        <v>18500000</v>
      </c>
      <c r="H67" s="9" t="str">
        <f>VLOOKUP(A67,Sheet9!$A:$F,3,FALSE )</f>
        <v>Bahria Town</v>
      </c>
      <c r="I67" s="9" t="str">
        <f>VLOOKUP(A67,Sheet9!$A:$F,4,FALSE)</f>
        <v>Lahore</v>
      </c>
      <c r="J67" s="9" t="str">
        <f>VLOOKUP(A67,Sheet9!$A:$F,5,FALSE)</f>
        <v>Punjab</v>
      </c>
      <c r="K67" s="9" t="str">
        <f>VLOOKUP(A67,Sheet9!$A:$F,6,FALSE)</f>
        <v>For Sale</v>
      </c>
      <c r="L67" s="9">
        <f t="shared" ref="L67:L130" si="1">HLOOKUP(J67,$N$1:$P$2,2,FALSE)</f>
        <v>2</v>
      </c>
    </row>
    <row r="68" spans="1:12" ht="15" thickBot="1">
      <c r="A68" s="31">
        <v>1665024</v>
      </c>
      <c r="B68" s="35">
        <v>11905</v>
      </c>
      <c r="C68" s="35" t="s">
        <v>154</v>
      </c>
      <c r="D68" s="35">
        <v>5</v>
      </c>
      <c r="E68" s="35">
        <v>3</v>
      </c>
      <c r="F68" s="36">
        <v>43620</v>
      </c>
      <c r="G68" s="9">
        <f>VLOOKUP(A68,Sheet9!$A:$F,2,FALSE)</f>
        <v>13500000</v>
      </c>
      <c r="H68" s="9" t="str">
        <f>VLOOKUP(A68,Sheet9!$A:$F,3,FALSE )</f>
        <v>DHA Defence</v>
      </c>
      <c r="I68" s="9" t="str">
        <f>VLOOKUP(A68,Sheet9!$A:$F,4,FALSE)</f>
        <v>Islamabad</v>
      </c>
      <c r="J68" s="9" t="str">
        <f>VLOOKUP(A68,Sheet9!$A:$F,5,FALSE)</f>
        <v>Islamabad Capital</v>
      </c>
      <c r="K68" s="9" t="str">
        <f>VLOOKUP(A68,Sheet9!$A:$F,6,FALSE)</f>
        <v>For Sale</v>
      </c>
      <c r="L68" s="9">
        <f t="shared" si="1"/>
        <v>3</v>
      </c>
    </row>
    <row r="69" spans="1:12" ht="15" thickBot="1">
      <c r="A69" s="31">
        <v>1711014</v>
      </c>
      <c r="B69" s="35">
        <v>6703</v>
      </c>
      <c r="C69" s="35" t="s">
        <v>153</v>
      </c>
      <c r="D69" s="35">
        <v>2</v>
      </c>
      <c r="E69" s="35">
        <v>3</v>
      </c>
      <c r="F69" s="36">
        <v>43634</v>
      </c>
      <c r="G69" s="9">
        <f>VLOOKUP(A69,Sheet9!$A:$F,2,FALSE)</f>
        <v>19000</v>
      </c>
      <c r="H69" s="9" t="str">
        <f>VLOOKUP(A69,Sheet9!$A:$F,3,FALSE )</f>
        <v>Federal B Area</v>
      </c>
      <c r="I69" s="9" t="str">
        <f>VLOOKUP(A69,Sheet9!$A:$F,4,FALSE)</f>
        <v>Karachi</v>
      </c>
      <c r="J69" s="9" t="str">
        <f>VLOOKUP(A69,Sheet9!$A:$F,5,FALSE)</f>
        <v>Sindh</v>
      </c>
      <c r="K69" s="9" t="str">
        <f>VLOOKUP(A69,Sheet9!$A:$F,6,FALSE)</f>
        <v>For Rent</v>
      </c>
      <c r="L69" s="9">
        <f t="shared" si="1"/>
        <v>1</v>
      </c>
    </row>
    <row r="70" spans="1:12" ht="15" thickBot="1">
      <c r="A70" s="31">
        <v>1731945</v>
      </c>
      <c r="B70" s="35">
        <v>3036</v>
      </c>
      <c r="C70" s="35" t="s">
        <v>153</v>
      </c>
      <c r="D70" s="35">
        <v>9</v>
      </c>
      <c r="E70" s="35">
        <v>9</v>
      </c>
      <c r="F70" s="36">
        <v>43591</v>
      </c>
      <c r="G70" s="9">
        <f>VLOOKUP(A70,Sheet9!$A:$F,2,FALSE)</f>
        <v>71000</v>
      </c>
      <c r="H70" s="9" t="str">
        <f>VLOOKUP(A70,Sheet9!$A:$F,3,FALSE )</f>
        <v>Bahria Town Rawalpindi</v>
      </c>
      <c r="I70" s="9" t="str">
        <f>VLOOKUP(A70,Sheet9!$A:$F,4,FALSE)</f>
        <v>Rawalpindi</v>
      </c>
      <c r="J70" s="9" t="str">
        <f>VLOOKUP(A70,Sheet9!$A:$F,5,FALSE)</f>
        <v>Punjab</v>
      </c>
      <c r="K70" s="9" t="str">
        <f>VLOOKUP(A70,Sheet9!$A:$F,6,FALSE)</f>
        <v>For Rent</v>
      </c>
      <c r="L70" s="9">
        <f t="shared" si="1"/>
        <v>2</v>
      </c>
    </row>
    <row r="71" spans="1:12" ht="15" thickBot="1">
      <c r="A71" s="31">
        <v>1794392</v>
      </c>
      <c r="B71" s="35">
        <v>9432</v>
      </c>
      <c r="C71" s="35" t="s">
        <v>153</v>
      </c>
      <c r="D71" s="35">
        <v>4</v>
      </c>
      <c r="E71" s="35">
        <v>4</v>
      </c>
      <c r="F71" s="36">
        <v>43634</v>
      </c>
      <c r="G71" s="9">
        <f>VLOOKUP(A71,Sheet9!$A:$F,2,FALSE)</f>
        <v>23500000</v>
      </c>
      <c r="H71" s="9" t="str">
        <f>VLOOKUP(A71,Sheet9!$A:$F,3,FALSE )</f>
        <v>Askari</v>
      </c>
      <c r="I71" s="9" t="str">
        <f>VLOOKUP(A71,Sheet9!$A:$F,4,FALSE)</f>
        <v>Lahore</v>
      </c>
      <c r="J71" s="9" t="str">
        <f>VLOOKUP(A71,Sheet9!$A:$F,5,FALSE)</f>
        <v>Punjab</v>
      </c>
      <c r="K71" s="9" t="str">
        <f>VLOOKUP(A71,Sheet9!$A:$F,6,FALSE)</f>
        <v>For Sale</v>
      </c>
      <c r="L71" s="9">
        <f t="shared" si="1"/>
        <v>2</v>
      </c>
    </row>
    <row r="72" spans="1:12" ht="15" thickBot="1">
      <c r="A72" s="31">
        <v>1838236</v>
      </c>
      <c r="B72" s="35">
        <v>1378</v>
      </c>
      <c r="C72" s="35" t="s">
        <v>153</v>
      </c>
      <c r="D72" s="35">
        <v>5</v>
      </c>
      <c r="E72" s="35">
        <v>3</v>
      </c>
      <c r="F72" s="36">
        <v>43657</v>
      </c>
      <c r="G72" s="9">
        <f>VLOOKUP(A72,Sheet9!$A:$F,2,FALSE)</f>
        <v>45000</v>
      </c>
      <c r="H72" s="9" t="str">
        <f>VLOOKUP(A72,Sheet9!$A:$F,3,FALSE )</f>
        <v>Pakistan Town</v>
      </c>
      <c r="I72" s="9" t="str">
        <f>VLOOKUP(A72,Sheet9!$A:$F,4,FALSE)</f>
        <v>Islamabad</v>
      </c>
      <c r="J72" s="9" t="str">
        <f>VLOOKUP(A72,Sheet9!$A:$F,5,FALSE)</f>
        <v>Islamabad Capital</v>
      </c>
      <c r="K72" s="9" t="str">
        <f>VLOOKUP(A72,Sheet9!$A:$F,6,FALSE)</f>
        <v>For Rent</v>
      </c>
      <c r="L72" s="9">
        <f t="shared" si="1"/>
        <v>3</v>
      </c>
    </row>
    <row r="73" spans="1:12" ht="15" thickBot="1">
      <c r="A73" s="31">
        <v>1861954</v>
      </c>
      <c r="B73" s="35">
        <v>378</v>
      </c>
      <c r="C73" s="35" t="s">
        <v>153</v>
      </c>
      <c r="D73" s="35">
        <v>4</v>
      </c>
      <c r="E73" s="35">
        <v>4</v>
      </c>
      <c r="F73" s="36">
        <v>43559</v>
      </c>
      <c r="G73" s="9">
        <f>VLOOKUP(A73,Sheet9!$A:$F,2,FALSE)</f>
        <v>22500000</v>
      </c>
      <c r="H73" s="9" t="str">
        <f>VLOOKUP(A73,Sheet9!$A:$F,3,FALSE )</f>
        <v>Bedian Road</v>
      </c>
      <c r="I73" s="9" t="str">
        <f>VLOOKUP(A73,Sheet9!$A:$F,4,FALSE)</f>
        <v>Lahore</v>
      </c>
      <c r="J73" s="9" t="str">
        <f>VLOOKUP(A73,Sheet9!$A:$F,5,FALSE)</f>
        <v>Punjab</v>
      </c>
      <c r="K73" s="9" t="str">
        <f>VLOOKUP(A73,Sheet9!$A:$F,6,FALSE)</f>
        <v>For Sale</v>
      </c>
      <c r="L73" s="9">
        <f t="shared" si="1"/>
        <v>2</v>
      </c>
    </row>
    <row r="74" spans="1:12" ht="15" thickBot="1">
      <c r="A74" s="31">
        <v>1871116</v>
      </c>
      <c r="B74" s="35">
        <v>4445</v>
      </c>
      <c r="C74" s="35" t="s">
        <v>153</v>
      </c>
      <c r="D74" s="35">
        <v>7</v>
      </c>
      <c r="E74" s="35">
        <v>6</v>
      </c>
      <c r="F74" s="36">
        <v>43656</v>
      </c>
      <c r="G74" s="9">
        <f>VLOOKUP(A74,Sheet9!$A:$F,2,FALSE)</f>
        <v>50000000</v>
      </c>
      <c r="H74" s="9" t="str">
        <f>VLOOKUP(A74,Sheet9!$A:$F,3,FALSE )</f>
        <v>Agrics Town</v>
      </c>
      <c r="I74" s="9" t="str">
        <f>VLOOKUP(A74,Sheet9!$A:$F,4,FALSE)</f>
        <v>Lahore</v>
      </c>
      <c r="J74" s="9" t="str">
        <f>VLOOKUP(A74,Sheet9!$A:$F,5,FALSE)</f>
        <v>Punjab</v>
      </c>
      <c r="K74" s="9" t="str">
        <f>VLOOKUP(A74,Sheet9!$A:$F,6,FALSE)</f>
        <v>For Sale</v>
      </c>
      <c r="L74" s="9">
        <f t="shared" si="1"/>
        <v>2</v>
      </c>
    </row>
    <row r="75" spans="1:12" ht="29.5" thickBot="1">
      <c r="A75" s="31">
        <v>1871937</v>
      </c>
      <c r="B75" s="35">
        <v>156</v>
      </c>
      <c r="C75" s="35" t="s">
        <v>155</v>
      </c>
      <c r="D75" s="35">
        <v>2</v>
      </c>
      <c r="E75" s="35">
        <v>2</v>
      </c>
      <c r="F75" s="36">
        <v>43500</v>
      </c>
      <c r="G75" s="9">
        <f>VLOOKUP(A75,Sheet9!$A:$F,2,FALSE)</f>
        <v>12000</v>
      </c>
      <c r="H75" s="9" t="str">
        <f>VLOOKUP(A75,Sheet9!$A:$F,3,FALSE )</f>
        <v>Bhara kahu</v>
      </c>
      <c r="I75" s="9" t="str">
        <f>VLOOKUP(A75,Sheet9!$A:$F,4,FALSE)</f>
        <v>Islamabad</v>
      </c>
      <c r="J75" s="9" t="str">
        <f>VLOOKUP(A75,Sheet9!$A:$F,5,FALSE)</f>
        <v>Islamabad Capital</v>
      </c>
      <c r="K75" s="9" t="str">
        <f>VLOOKUP(A75,Sheet9!$A:$F,6,FALSE)</f>
        <v>For Rent</v>
      </c>
      <c r="L75" s="9">
        <f t="shared" si="1"/>
        <v>3</v>
      </c>
    </row>
    <row r="76" spans="1:12" ht="15" thickBot="1">
      <c r="A76" s="31">
        <v>1879795</v>
      </c>
      <c r="B76" s="35">
        <v>329</v>
      </c>
      <c r="C76" s="35" t="s">
        <v>154</v>
      </c>
      <c r="D76" s="35">
        <v>1</v>
      </c>
      <c r="E76" s="35">
        <v>1</v>
      </c>
      <c r="F76" s="36">
        <v>43649</v>
      </c>
      <c r="G76" s="9">
        <f>VLOOKUP(A76,Sheet9!$A:$F,2,FALSE)</f>
        <v>3600000</v>
      </c>
      <c r="H76" s="9" t="str">
        <f>VLOOKUP(A76,Sheet9!$A:$F,3,FALSE )</f>
        <v>E-11</v>
      </c>
      <c r="I76" s="9" t="str">
        <f>VLOOKUP(A76,Sheet9!$A:$F,4,FALSE)</f>
        <v>Islamabad</v>
      </c>
      <c r="J76" s="9" t="str">
        <f>VLOOKUP(A76,Sheet9!$A:$F,5,FALSE)</f>
        <v>Islamabad Capital</v>
      </c>
      <c r="K76" s="9" t="str">
        <f>VLOOKUP(A76,Sheet9!$A:$F,6,FALSE)</f>
        <v>For Sale</v>
      </c>
      <c r="L76" s="9">
        <f t="shared" si="1"/>
        <v>3</v>
      </c>
    </row>
    <row r="77" spans="1:12" ht="15" thickBot="1">
      <c r="A77" s="31">
        <v>1879796</v>
      </c>
      <c r="B77" s="35">
        <v>329</v>
      </c>
      <c r="C77" s="35" t="s">
        <v>154</v>
      </c>
      <c r="D77" s="35">
        <v>2</v>
      </c>
      <c r="E77" s="35">
        <v>2</v>
      </c>
      <c r="F77" s="36">
        <v>43590</v>
      </c>
      <c r="G77" s="9">
        <f>VLOOKUP(A77,Sheet9!$A:$F,2,FALSE)</f>
        <v>5000000</v>
      </c>
      <c r="H77" s="9" t="str">
        <f>VLOOKUP(A77,Sheet9!$A:$F,3,FALSE )</f>
        <v>E-11</v>
      </c>
      <c r="I77" s="9" t="str">
        <f>VLOOKUP(A77,Sheet9!$A:$F,4,FALSE)</f>
        <v>Islamabad</v>
      </c>
      <c r="J77" s="9" t="str">
        <f>VLOOKUP(A77,Sheet9!$A:$F,5,FALSE)</f>
        <v>Islamabad Capital</v>
      </c>
      <c r="K77" s="9" t="str">
        <f>VLOOKUP(A77,Sheet9!$A:$F,6,FALSE)</f>
        <v>For Sale</v>
      </c>
      <c r="L77" s="9">
        <f t="shared" si="1"/>
        <v>3</v>
      </c>
    </row>
    <row r="78" spans="1:12" ht="15" thickBot="1">
      <c r="A78" s="31">
        <v>1902788</v>
      </c>
      <c r="B78" s="35">
        <v>6853</v>
      </c>
      <c r="C78" s="35" t="s">
        <v>153</v>
      </c>
      <c r="D78" s="35">
        <v>6</v>
      </c>
      <c r="E78" s="35">
        <v>5</v>
      </c>
      <c r="F78" s="36">
        <v>43630</v>
      </c>
      <c r="G78" s="9">
        <f>VLOOKUP(A78,Sheet9!$A:$F,2,FALSE)</f>
        <v>12800000</v>
      </c>
      <c r="H78" s="9" t="str">
        <f>VLOOKUP(A78,Sheet9!$A:$F,3,FALSE )</f>
        <v>Scheme 33</v>
      </c>
      <c r="I78" s="9" t="str">
        <f>VLOOKUP(A78,Sheet9!$A:$F,4,FALSE)</f>
        <v>Karachi</v>
      </c>
      <c r="J78" s="9" t="str">
        <f>VLOOKUP(A78,Sheet9!$A:$F,5,FALSE)</f>
        <v>Sindh</v>
      </c>
      <c r="K78" s="9" t="str">
        <f>VLOOKUP(A78,Sheet9!$A:$F,6,FALSE)</f>
        <v>For Sale</v>
      </c>
      <c r="L78" s="9">
        <f t="shared" si="1"/>
        <v>1</v>
      </c>
    </row>
    <row r="79" spans="1:12" ht="15" thickBot="1">
      <c r="A79" s="31">
        <v>1923026</v>
      </c>
      <c r="B79" s="35">
        <v>165</v>
      </c>
      <c r="C79" s="35" t="s">
        <v>153</v>
      </c>
      <c r="D79" s="35">
        <v>4</v>
      </c>
      <c r="E79" s="35">
        <v>4</v>
      </c>
      <c r="F79" s="36">
        <v>43620</v>
      </c>
      <c r="G79" s="9">
        <f>VLOOKUP(A79,Sheet9!$A:$F,2,FALSE)</f>
        <v>175000</v>
      </c>
      <c r="H79" s="9" t="str">
        <f>VLOOKUP(A79,Sheet9!$A:$F,3,FALSE )</f>
        <v>F-7</v>
      </c>
      <c r="I79" s="9" t="str">
        <f>VLOOKUP(A79,Sheet9!$A:$F,4,FALSE)</f>
        <v>Islamabad</v>
      </c>
      <c r="J79" s="9" t="str">
        <f>VLOOKUP(A79,Sheet9!$A:$F,5,FALSE)</f>
        <v>Islamabad Capital</v>
      </c>
      <c r="K79" s="9" t="str">
        <f>VLOOKUP(A79,Sheet9!$A:$F,6,FALSE)</f>
        <v>For Rent</v>
      </c>
      <c r="L79" s="9">
        <f t="shared" si="1"/>
        <v>3</v>
      </c>
    </row>
    <row r="80" spans="1:12" ht="15" thickBot="1">
      <c r="A80" s="31">
        <v>1947817</v>
      </c>
      <c r="B80" s="35">
        <v>3075</v>
      </c>
      <c r="C80" s="35" t="s">
        <v>153</v>
      </c>
      <c r="D80" s="35">
        <v>3</v>
      </c>
      <c r="E80" s="35">
        <v>3</v>
      </c>
      <c r="F80" s="36">
        <v>43636</v>
      </c>
      <c r="G80" s="9">
        <f>VLOOKUP(A80,Sheet9!$A:$F,2,FALSE)</f>
        <v>19000000</v>
      </c>
      <c r="H80" s="9" t="str">
        <f>VLOOKUP(A80,Sheet9!$A:$F,3,FALSE )</f>
        <v>DHA Defence</v>
      </c>
      <c r="I80" s="9" t="str">
        <f>VLOOKUP(A80,Sheet9!$A:$F,4,FALSE)</f>
        <v>Islamabad</v>
      </c>
      <c r="J80" s="9" t="str">
        <f>VLOOKUP(A80,Sheet9!$A:$F,5,FALSE)</f>
        <v>Islamabad Capital</v>
      </c>
      <c r="K80" s="9" t="str">
        <f>VLOOKUP(A80,Sheet9!$A:$F,6,FALSE)</f>
        <v>For Sale</v>
      </c>
      <c r="L80" s="9">
        <f t="shared" si="1"/>
        <v>3</v>
      </c>
    </row>
    <row r="81" spans="1:12" ht="15" thickBot="1">
      <c r="A81" s="31">
        <v>1997947</v>
      </c>
      <c r="B81" s="35">
        <v>3814</v>
      </c>
      <c r="C81" s="35" t="s">
        <v>153</v>
      </c>
      <c r="D81" s="35">
        <v>6</v>
      </c>
      <c r="E81" s="35">
        <v>6</v>
      </c>
      <c r="F81" s="36">
        <v>43627</v>
      </c>
      <c r="G81" s="9">
        <f>VLOOKUP(A81,Sheet9!$A:$F,2,FALSE)</f>
        <v>39500000</v>
      </c>
      <c r="H81" s="9" t="str">
        <f>VLOOKUP(A81,Sheet9!$A:$F,3,FALSE )</f>
        <v>Gulberg</v>
      </c>
      <c r="I81" s="9" t="str">
        <f>VLOOKUP(A81,Sheet9!$A:$F,4,FALSE)</f>
        <v>Lahore</v>
      </c>
      <c r="J81" s="9" t="str">
        <f>VLOOKUP(A81,Sheet9!$A:$F,5,FALSE)</f>
        <v>Punjab</v>
      </c>
      <c r="K81" s="9" t="str">
        <f>VLOOKUP(A81,Sheet9!$A:$F,6,FALSE)</f>
        <v>For Sale</v>
      </c>
      <c r="L81" s="9">
        <f t="shared" si="1"/>
        <v>2</v>
      </c>
    </row>
    <row r="82" spans="1:12" ht="15" thickBot="1">
      <c r="A82" s="31">
        <v>2033851</v>
      </c>
      <c r="B82" s="35">
        <v>439</v>
      </c>
      <c r="C82" s="35" t="s">
        <v>154</v>
      </c>
      <c r="D82" s="35">
        <v>2</v>
      </c>
      <c r="E82" s="35">
        <v>2</v>
      </c>
      <c r="F82" s="36">
        <v>43513</v>
      </c>
      <c r="G82" s="9">
        <f>VLOOKUP(A82,Sheet9!$A:$F,2,FALSE)</f>
        <v>35000</v>
      </c>
      <c r="H82" s="9" t="str">
        <f>VLOOKUP(A82,Sheet9!$A:$F,3,FALSE )</f>
        <v>Chandni Chowk</v>
      </c>
      <c r="I82" s="9" t="str">
        <f>VLOOKUP(A82,Sheet9!$A:$F,4,FALSE)</f>
        <v>Rawalpindi</v>
      </c>
      <c r="J82" s="9" t="str">
        <f>VLOOKUP(A82,Sheet9!$A:$F,5,FALSE)</f>
        <v>Punjab</v>
      </c>
      <c r="K82" s="9" t="str">
        <f>VLOOKUP(A82,Sheet9!$A:$F,6,FALSE)</f>
        <v>For Rent</v>
      </c>
      <c r="L82" s="9">
        <f t="shared" si="1"/>
        <v>2</v>
      </c>
    </row>
    <row r="83" spans="1:12" ht="29.5" thickBot="1">
      <c r="A83" s="31">
        <v>2040534</v>
      </c>
      <c r="B83" s="35">
        <v>9014</v>
      </c>
      <c r="C83" s="35" t="s">
        <v>156</v>
      </c>
      <c r="D83" s="35">
        <v>2</v>
      </c>
      <c r="E83" s="35">
        <v>2</v>
      </c>
      <c r="F83" s="36">
        <v>43500</v>
      </c>
      <c r="G83" s="9">
        <f>VLOOKUP(A83,Sheet9!$A:$F,2,FALSE)</f>
        <v>17000</v>
      </c>
      <c r="H83" s="9" t="str">
        <f>VLOOKUP(A83,Sheet9!$A:$F,3,FALSE )</f>
        <v>Islamabad Expressway</v>
      </c>
      <c r="I83" s="9" t="str">
        <f>VLOOKUP(A83,Sheet9!$A:$F,4,FALSE)</f>
        <v>Islamabad</v>
      </c>
      <c r="J83" s="9" t="str">
        <f>VLOOKUP(A83,Sheet9!$A:$F,5,FALSE)</f>
        <v>Islamabad Capital</v>
      </c>
      <c r="K83" s="9" t="str">
        <f>VLOOKUP(A83,Sheet9!$A:$F,6,FALSE)</f>
        <v>For Rent</v>
      </c>
      <c r="L83" s="9">
        <f t="shared" si="1"/>
        <v>3</v>
      </c>
    </row>
    <row r="84" spans="1:12" ht="15" thickBot="1">
      <c r="A84" s="31">
        <v>2052081</v>
      </c>
      <c r="B84" s="35">
        <v>9435</v>
      </c>
      <c r="C84" s="35" t="s">
        <v>153</v>
      </c>
      <c r="D84" s="35">
        <v>5</v>
      </c>
      <c r="E84" s="35">
        <v>4</v>
      </c>
      <c r="F84" s="36">
        <v>43634</v>
      </c>
      <c r="G84" s="9">
        <f>VLOOKUP(A84,Sheet9!$A:$F,2,FALSE)</f>
        <v>27500000</v>
      </c>
      <c r="H84" s="9" t="str">
        <f>VLOOKUP(A84,Sheet9!$A:$F,3,FALSE )</f>
        <v>Askari</v>
      </c>
      <c r="I84" s="9" t="str">
        <f>VLOOKUP(A84,Sheet9!$A:$F,4,FALSE)</f>
        <v>Lahore</v>
      </c>
      <c r="J84" s="9" t="str">
        <f>VLOOKUP(A84,Sheet9!$A:$F,5,FALSE)</f>
        <v>Punjab</v>
      </c>
      <c r="K84" s="9" t="str">
        <f>VLOOKUP(A84,Sheet9!$A:$F,6,FALSE)</f>
        <v>For Sale</v>
      </c>
      <c r="L84" s="9">
        <f t="shared" si="1"/>
        <v>2</v>
      </c>
    </row>
    <row r="85" spans="1:12" ht="15" thickBot="1">
      <c r="A85" s="31">
        <v>2146098</v>
      </c>
      <c r="B85" s="35">
        <v>9747</v>
      </c>
      <c r="C85" s="35" t="s">
        <v>153</v>
      </c>
      <c r="D85" s="35">
        <v>3</v>
      </c>
      <c r="E85" s="35">
        <v>6</v>
      </c>
      <c r="F85" s="36">
        <v>43469</v>
      </c>
      <c r="G85" s="9">
        <f>VLOOKUP(A85,Sheet9!$A:$F,2,FALSE)</f>
        <v>40000000</v>
      </c>
      <c r="H85" s="9" t="str">
        <f>VLOOKUP(A85,Sheet9!$A:$F,3,FALSE )</f>
        <v>Chaman Park</v>
      </c>
      <c r="I85" s="9" t="str">
        <f>VLOOKUP(A85,Sheet9!$A:$F,4,FALSE)</f>
        <v>Lahore</v>
      </c>
      <c r="J85" s="9" t="str">
        <f>VLOOKUP(A85,Sheet9!$A:$F,5,FALSE)</f>
        <v>Punjab</v>
      </c>
      <c r="K85" s="9" t="str">
        <f>VLOOKUP(A85,Sheet9!$A:$F,6,FALSE)</f>
        <v>For Sale</v>
      </c>
      <c r="L85" s="9">
        <f t="shared" si="1"/>
        <v>2</v>
      </c>
    </row>
    <row r="86" spans="1:12" ht="15" thickBot="1">
      <c r="A86" s="31">
        <v>2207932</v>
      </c>
      <c r="B86" s="35">
        <v>3036</v>
      </c>
      <c r="C86" s="35" t="s">
        <v>153</v>
      </c>
      <c r="D86" s="35">
        <v>5</v>
      </c>
      <c r="E86" s="35">
        <v>5</v>
      </c>
      <c r="F86" s="36">
        <v>43483</v>
      </c>
      <c r="G86" s="9">
        <f>VLOOKUP(A86,Sheet9!$A:$F,2,FALSE)</f>
        <v>35000000</v>
      </c>
      <c r="H86" s="9" t="str">
        <f>VLOOKUP(A86,Sheet9!$A:$F,3,FALSE )</f>
        <v>Bahria Town Rawalpindi</v>
      </c>
      <c r="I86" s="9" t="str">
        <f>VLOOKUP(A86,Sheet9!$A:$F,4,FALSE)</f>
        <v>Rawalpindi</v>
      </c>
      <c r="J86" s="9" t="str">
        <f>VLOOKUP(A86,Sheet9!$A:$F,5,FALSE)</f>
        <v>Punjab</v>
      </c>
      <c r="K86" s="9" t="str">
        <f>VLOOKUP(A86,Sheet9!$A:$F,6,FALSE)</f>
        <v>For Sale</v>
      </c>
      <c r="L86" s="9">
        <f t="shared" si="1"/>
        <v>2</v>
      </c>
    </row>
    <row r="87" spans="1:12" ht="15" thickBot="1">
      <c r="A87" s="31">
        <v>2230469</v>
      </c>
      <c r="B87" s="35">
        <v>9057</v>
      </c>
      <c r="C87" s="35" t="s">
        <v>153</v>
      </c>
      <c r="D87" s="35">
        <v>7</v>
      </c>
      <c r="E87" s="35">
        <v>7</v>
      </c>
      <c r="F87" s="36">
        <v>43662</v>
      </c>
      <c r="G87" s="9">
        <f>VLOOKUP(A87,Sheet9!$A:$F,2,FALSE)</f>
        <v>80000000</v>
      </c>
      <c r="H87" s="9" t="str">
        <f>VLOOKUP(A87,Sheet9!$A:$F,3,FALSE )</f>
        <v>DHA Defence</v>
      </c>
      <c r="I87" s="9" t="str">
        <f>VLOOKUP(A87,Sheet9!$A:$F,4,FALSE)</f>
        <v>Islamabad</v>
      </c>
      <c r="J87" s="9" t="str">
        <f>VLOOKUP(A87,Sheet9!$A:$F,5,FALSE)</f>
        <v>Islamabad Capital</v>
      </c>
      <c r="K87" s="9" t="str">
        <f>VLOOKUP(A87,Sheet9!$A:$F,6,FALSE)</f>
        <v>For Sale</v>
      </c>
      <c r="L87" s="9">
        <f t="shared" si="1"/>
        <v>3</v>
      </c>
    </row>
    <row r="88" spans="1:12" ht="15" thickBot="1">
      <c r="A88" s="31">
        <v>2234957</v>
      </c>
      <c r="B88" s="35">
        <v>3116</v>
      </c>
      <c r="C88" s="35" t="s">
        <v>153</v>
      </c>
      <c r="D88" s="35">
        <v>6</v>
      </c>
      <c r="E88" s="35">
        <v>6</v>
      </c>
      <c r="F88" s="36">
        <v>43500</v>
      </c>
      <c r="G88" s="9">
        <f>VLOOKUP(A88,Sheet9!$A:$F,2,FALSE)</f>
        <v>26900000</v>
      </c>
      <c r="H88" s="9" t="str">
        <f>VLOOKUP(A88,Sheet9!$A:$F,3,FALSE )</f>
        <v>B-17</v>
      </c>
      <c r="I88" s="9" t="str">
        <f>VLOOKUP(A88,Sheet9!$A:$F,4,FALSE)</f>
        <v>Islamabad</v>
      </c>
      <c r="J88" s="9" t="str">
        <f>VLOOKUP(A88,Sheet9!$A:$F,5,FALSE)</f>
        <v>Islamabad Capital</v>
      </c>
      <c r="K88" s="9" t="str">
        <f>VLOOKUP(A88,Sheet9!$A:$F,6,FALSE)</f>
        <v>For Sale</v>
      </c>
      <c r="L88" s="9">
        <f t="shared" si="1"/>
        <v>3</v>
      </c>
    </row>
    <row r="89" spans="1:12" ht="15" thickBot="1">
      <c r="A89" s="31">
        <v>2253425</v>
      </c>
      <c r="B89" s="35">
        <v>9036</v>
      </c>
      <c r="C89" s="35" t="s">
        <v>157</v>
      </c>
      <c r="D89" s="35">
        <v>4</v>
      </c>
      <c r="E89" s="35">
        <v>4</v>
      </c>
      <c r="F89" s="36">
        <v>43662</v>
      </c>
      <c r="G89" s="9">
        <f>VLOOKUP(A89,Sheet9!$A:$F,2,FALSE)</f>
        <v>25000000</v>
      </c>
      <c r="H89" s="9" t="str">
        <f>VLOOKUP(A89,Sheet9!$A:$F,3,FALSE )</f>
        <v>Bahria Town Rawalpindi</v>
      </c>
      <c r="I89" s="9" t="str">
        <f>VLOOKUP(A89,Sheet9!$A:$F,4,FALSE)</f>
        <v>Rawalpindi</v>
      </c>
      <c r="J89" s="9" t="str">
        <f>VLOOKUP(A89,Sheet9!$A:$F,5,FALSE)</f>
        <v>Punjab</v>
      </c>
      <c r="K89" s="9" t="str">
        <f>VLOOKUP(A89,Sheet9!$A:$F,6,FALSE)</f>
        <v>For Sale</v>
      </c>
      <c r="L89" s="9">
        <f t="shared" si="1"/>
        <v>2</v>
      </c>
    </row>
    <row r="90" spans="1:12" ht="15" thickBot="1">
      <c r="A90" s="31">
        <v>2253437</v>
      </c>
      <c r="B90" s="35">
        <v>8974</v>
      </c>
      <c r="C90" s="35" t="s">
        <v>154</v>
      </c>
      <c r="D90" s="35">
        <v>2</v>
      </c>
      <c r="E90" s="35">
        <v>2</v>
      </c>
      <c r="F90" s="36">
        <v>43662</v>
      </c>
      <c r="G90" s="9">
        <f>VLOOKUP(A90,Sheet9!$A:$F,2,FALSE)</f>
        <v>7500000</v>
      </c>
      <c r="H90" s="9" t="str">
        <f>VLOOKUP(A90,Sheet9!$A:$F,3,FALSE )</f>
        <v>Bahria Town Rawalpindi</v>
      </c>
      <c r="I90" s="9" t="str">
        <f>VLOOKUP(A90,Sheet9!$A:$F,4,FALSE)</f>
        <v>Rawalpindi</v>
      </c>
      <c r="J90" s="9" t="str">
        <f>VLOOKUP(A90,Sheet9!$A:$F,5,FALSE)</f>
        <v>Punjab</v>
      </c>
      <c r="K90" s="9" t="str">
        <f>VLOOKUP(A90,Sheet9!$A:$F,6,FALSE)</f>
        <v>For Sale</v>
      </c>
      <c r="L90" s="9">
        <f t="shared" si="1"/>
        <v>2</v>
      </c>
    </row>
    <row r="91" spans="1:12" ht="15" thickBot="1">
      <c r="A91" s="31">
        <v>2290028</v>
      </c>
      <c r="B91" s="35">
        <v>6655</v>
      </c>
      <c r="C91" s="35" t="s">
        <v>154</v>
      </c>
      <c r="D91" s="35">
        <v>3</v>
      </c>
      <c r="E91" s="35">
        <v>3</v>
      </c>
      <c r="F91" s="36">
        <v>43630</v>
      </c>
      <c r="G91" s="9">
        <f>VLOOKUP(A91,Sheet9!$A:$F,2,FALSE)</f>
        <v>30000000</v>
      </c>
      <c r="H91" s="9" t="str">
        <f>VLOOKUP(A91,Sheet9!$A:$F,3,FALSE )</f>
        <v>Cantt</v>
      </c>
      <c r="I91" s="9" t="str">
        <f>VLOOKUP(A91,Sheet9!$A:$F,4,FALSE)</f>
        <v>Karachi</v>
      </c>
      <c r="J91" s="9" t="str">
        <f>VLOOKUP(A91,Sheet9!$A:$F,5,FALSE)</f>
        <v>Sindh</v>
      </c>
      <c r="K91" s="9" t="str">
        <f>VLOOKUP(A91,Sheet9!$A:$F,6,FALSE)</f>
        <v>For Sale</v>
      </c>
      <c r="L91" s="9">
        <f t="shared" si="1"/>
        <v>1</v>
      </c>
    </row>
    <row r="92" spans="1:12" ht="15" thickBot="1">
      <c r="A92" s="31">
        <v>2290030</v>
      </c>
      <c r="B92" s="35">
        <v>6655</v>
      </c>
      <c r="C92" s="35" t="s">
        <v>154</v>
      </c>
      <c r="D92" s="35">
        <v>4</v>
      </c>
      <c r="E92" s="35">
        <v>3</v>
      </c>
      <c r="F92" s="36">
        <v>43630</v>
      </c>
      <c r="G92" s="9">
        <f>VLOOKUP(A92,Sheet9!$A:$F,2,FALSE)</f>
        <v>34000000</v>
      </c>
      <c r="H92" s="9" t="str">
        <f>VLOOKUP(A92,Sheet9!$A:$F,3,FALSE )</f>
        <v>Cantt</v>
      </c>
      <c r="I92" s="9" t="str">
        <f>VLOOKUP(A92,Sheet9!$A:$F,4,FALSE)</f>
        <v>Karachi</v>
      </c>
      <c r="J92" s="9" t="str">
        <f>VLOOKUP(A92,Sheet9!$A:$F,5,FALSE)</f>
        <v>Sindh</v>
      </c>
      <c r="K92" s="9" t="str">
        <f>VLOOKUP(A92,Sheet9!$A:$F,6,FALSE)</f>
        <v>For Sale</v>
      </c>
      <c r="L92" s="9">
        <f t="shared" si="1"/>
        <v>1</v>
      </c>
    </row>
    <row r="93" spans="1:12" ht="15" thickBot="1">
      <c r="A93" s="31">
        <v>2290031</v>
      </c>
      <c r="B93" s="35">
        <v>6655</v>
      </c>
      <c r="C93" s="35" t="s">
        <v>154</v>
      </c>
      <c r="D93" s="35">
        <v>0</v>
      </c>
      <c r="E93" s="35">
        <v>3</v>
      </c>
      <c r="F93" s="36">
        <v>43630</v>
      </c>
      <c r="G93" s="9">
        <f>VLOOKUP(A93,Sheet9!$A:$F,2,FALSE)</f>
        <v>29500000</v>
      </c>
      <c r="H93" s="9" t="str">
        <f>VLOOKUP(A93,Sheet9!$A:$F,3,FALSE )</f>
        <v>Cantt</v>
      </c>
      <c r="I93" s="9" t="str">
        <f>VLOOKUP(A93,Sheet9!$A:$F,4,FALSE)</f>
        <v>Karachi</v>
      </c>
      <c r="J93" s="9" t="str">
        <f>VLOOKUP(A93,Sheet9!$A:$F,5,FALSE)</f>
        <v>Sindh</v>
      </c>
      <c r="K93" s="9" t="str">
        <f>VLOOKUP(A93,Sheet9!$A:$F,6,FALSE)</f>
        <v>For Sale</v>
      </c>
      <c r="L93" s="9">
        <f t="shared" si="1"/>
        <v>1</v>
      </c>
    </row>
    <row r="94" spans="1:12" ht="15" thickBot="1">
      <c r="A94" s="31">
        <v>2290032</v>
      </c>
      <c r="B94" s="35">
        <v>6655</v>
      </c>
      <c r="C94" s="35" t="s">
        <v>154</v>
      </c>
      <c r="D94" s="35">
        <v>0</v>
      </c>
      <c r="E94" s="35">
        <v>3</v>
      </c>
      <c r="F94" s="36">
        <v>43630</v>
      </c>
      <c r="G94" s="9">
        <f>VLOOKUP(A94,Sheet9!$A:$F,2,FALSE)</f>
        <v>30000000</v>
      </c>
      <c r="H94" s="9" t="str">
        <f>VLOOKUP(A94,Sheet9!$A:$F,3,FALSE )</f>
        <v>Cantt</v>
      </c>
      <c r="I94" s="9" t="str">
        <f>VLOOKUP(A94,Sheet9!$A:$F,4,FALSE)</f>
        <v>Karachi</v>
      </c>
      <c r="J94" s="9" t="str">
        <f>VLOOKUP(A94,Sheet9!$A:$F,5,FALSE)</f>
        <v>Sindh</v>
      </c>
      <c r="K94" s="9" t="str">
        <f>VLOOKUP(A94,Sheet9!$A:$F,6,FALSE)</f>
        <v>For Sale</v>
      </c>
      <c r="L94" s="9">
        <f t="shared" si="1"/>
        <v>1</v>
      </c>
    </row>
    <row r="95" spans="1:12" ht="15" thickBot="1">
      <c r="A95" s="31">
        <v>2290033</v>
      </c>
      <c r="B95" s="35">
        <v>6655</v>
      </c>
      <c r="C95" s="35" t="s">
        <v>154</v>
      </c>
      <c r="D95" s="35">
        <v>0</v>
      </c>
      <c r="E95" s="35">
        <v>4</v>
      </c>
      <c r="F95" s="36">
        <v>43630</v>
      </c>
      <c r="G95" s="9">
        <f>VLOOKUP(A95,Sheet9!$A:$F,2,FALSE)</f>
        <v>37500000</v>
      </c>
      <c r="H95" s="9" t="str">
        <f>VLOOKUP(A95,Sheet9!$A:$F,3,FALSE )</f>
        <v>Cantt</v>
      </c>
      <c r="I95" s="9" t="str">
        <f>VLOOKUP(A95,Sheet9!$A:$F,4,FALSE)</f>
        <v>Karachi</v>
      </c>
      <c r="J95" s="9" t="str">
        <f>VLOOKUP(A95,Sheet9!$A:$F,5,FALSE)</f>
        <v>Sindh</v>
      </c>
      <c r="K95" s="9" t="str">
        <f>VLOOKUP(A95,Sheet9!$A:$F,6,FALSE)</f>
        <v>For Sale</v>
      </c>
      <c r="L95" s="9">
        <f t="shared" si="1"/>
        <v>1</v>
      </c>
    </row>
    <row r="96" spans="1:12" ht="15" thickBot="1">
      <c r="A96" s="31">
        <v>2311887</v>
      </c>
      <c r="B96" s="35">
        <v>9432</v>
      </c>
      <c r="C96" s="35" t="s">
        <v>153</v>
      </c>
      <c r="D96" s="35">
        <v>6</v>
      </c>
      <c r="E96" s="35">
        <v>5</v>
      </c>
      <c r="F96" s="36">
        <v>43634</v>
      </c>
      <c r="G96" s="9">
        <f>VLOOKUP(A96,Sheet9!$A:$F,2,FALSE)</f>
        <v>45000000</v>
      </c>
      <c r="H96" s="9" t="str">
        <f>VLOOKUP(A96,Sheet9!$A:$F,3,FALSE )</f>
        <v>Askari</v>
      </c>
      <c r="I96" s="9" t="str">
        <f>VLOOKUP(A96,Sheet9!$A:$F,4,FALSE)</f>
        <v>Lahore</v>
      </c>
      <c r="J96" s="9" t="str">
        <f>VLOOKUP(A96,Sheet9!$A:$F,5,FALSE)</f>
        <v>Punjab</v>
      </c>
      <c r="K96" s="9" t="str">
        <f>VLOOKUP(A96,Sheet9!$A:$F,6,FALSE)</f>
        <v>For Sale</v>
      </c>
      <c r="L96" s="9">
        <f t="shared" si="1"/>
        <v>2</v>
      </c>
    </row>
    <row r="97" spans="1:12" ht="15" thickBot="1">
      <c r="A97" s="31">
        <v>2350458</v>
      </c>
      <c r="B97" s="35">
        <v>3069</v>
      </c>
      <c r="C97" s="35" t="s">
        <v>153</v>
      </c>
      <c r="D97" s="35">
        <v>4</v>
      </c>
      <c r="E97" s="35">
        <v>4</v>
      </c>
      <c r="F97" s="36">
        <v>43661</v>
      </c>
      <c r="G97" s="9">
        <f>VLOOKUP(A97,Sheet9!$A:$F,2,FALSE)</f>
        <v>12800000</v>
      </c>
      <c r="H97" s="9" t="str">
        <f>VLOOKUP(A97,Sheet9!$A:$F,3,FALSE )</f>
        <v>Bahria Town Rawalpindi</v>
      </c>
      <c r="I97" s="9" t="str">
        <f>VLOOKUP(A97,Sheet9!$A:$F,4,FALSE)</f>
        <v>Rawalpindi</v>
      </c>
      <c r="J97" s="9" t="str">
        <f>VLOOKUP(A97,Sheet9!$A:$F,5,FALSE)</f>
        <v>Punjab</v>
      </c>
      <c r="K97" s="9" t="str">
        <f>VLOOKUP(A97,Sheet9!$A:$F,6,FALSE)</f>
        <v>For Sale</v>
      </c>
      <c r="L97" s="9">
        <f t="shared" si="1"/>
        <v>2</v>
      </c>
    </row>
    <row r="98" spans="1:12" ht="15" thickBot="1">
      <c r="A98" s="31">
        <v>2379549</v>
      </c>
      <c r="B98" s="35">
        <v>1511</v>
      </c>
      <c r="C98" s="35" t="s">
        <v>153</v>
      </c>
      <c r="D98" s="35">
        <v>2</v>
      </c>
      <c r="E98" s="35">
        <v>3</v>
      </c>
      <c r="F98" s="36">
        <v>43439</v>
      </c>
      <c r="G98" s="9">
        <f>VLOOKUP(A98,Sheet9!$A:$F,2,FALSE)</f>
        <v>3200000</v>
      </c>
      <c r="H98" s="9" t="str">
        <f>VLOOKUP(A98,Sheet9!$A:$F,3,FALSE )</f>
        <v>Chungi Amar Sadhu</v>
      </c>
      <c r="I98" s="9" t="str">
        <f>VLOOKUP(A98,Sheet9!$A:$F,4,FALSE)</f>
        <v>Lahore</v>
      </c>
      <c r="J98" s="9" t="str">
        <f>VLOOKUP(A98,Sheet9!$A:$F,5,FALSE)</f>
        <v>Punjab</v>
      </c>
      <c r="K98" s="9" t="str">
        <f>VLOOKUP(A98,Sheet9!$A:$F,6,FALSE)</f>
        <v>For Sale</v>
      </c>
      <c r="L98" s="9">
        <f t="shared" si="1"/>
        <v>2</v>
      </c>
    </row>
    <row r="99" spans="1:12" ht="15" thickBot="1">
      <c r="A99" s="31">
        <v>2384979</v>
      </c>
      <c r="B99" s="35">
        <v>424</v>
      </c>
      <c r="C99" s="35" t="s">
        <v>154</v>
      </c>
      <c r="D99" s="35">
        <v>0</v>
      </c>
      <c r="E99" s="35">
        <v>0</v>
      </c>
      <c r="F99" s="36">
        <v>43629</v>
      </c>
      <c r="G99" s="9">
        <f>VLOOKUP(A99,Sheet9!$A:$F,2,FALSE)</f>
        <v>1750000</v>
      </c>
      <c r="H99" s="9" t="str">
        <f>VLOOKUP(A99,Sheet9!$A:$F,3,FALSE )</f>
        <v>PWD Housing Scheme</v>
      </c>
      <c r="I99" s="9" t="str">
        <f>VLOOKUP(A99,Sheet9!$A:$F,4,FALSE)</f>
        <v>Islamabad</v>
      </c>
      <c r="J99" s="9" t="str">
        <f>VLOOKUP(A99,Sheet9!$A:$F,5,FALSE)</f>
        <v>Islamabad Capital</v>
      </c>
      <c r="K99" s="9" t="str">
        <f>VLOOKUP(A99,Sheet9!$A:$F,6,FALSE)</f>
        <v>For Sale</v>
      </c>
      <c r="L99" s="9">
        <f t="shared" si="1"/>
        <v>3</v>
      </c>
    </row>
    <row r="100" spans="1:12" ht="29.5" thickBot="1">
      <c r="A100" s="31">
        <v>2407301</v>
      </c>
      <c r="B100" s="35">
        <v>3035</v>
      </c>
      <c r="C100" s="35" t="s">
        <v>155</v>
      </c>
      <c r="D100" s="35">
        <v>4</v>
      </c>
      <c r="E100" s="35">
        <v>3</v>
      </c>
      <c r="F100" s="36">
        <v>43637</v>
      </c>
      <c r="G100" s="9">
        <f>VLOOKUP(A100,Sheet9!$A:$F,2,FALSE)</f>
        <v>48000</v>
      </c>
      <c r="H100" s="9" t="str">
        <f>VLOOKUP(A100,Sheet9!$A:$F,3,FALSE )</f>
        <v>Bahria Town Rawalpindi</v>
      </c>
      <c r="I100" s="9" t="str">
        <f>VLOOKUP(A100,Sheet9!$A:$F,4,FALSE)</f>
        <v>Rawalpindi</v>
      </c>
      <c r="J100" s="9" t="str">
        <f>VLOOKUP(A100,Sheet9!$A:$F,5,FALSE)</f>
        <v>Punjab</v>
      </c>
      <c r="K100" s="9" t="str">
        <f>VLOOKUP(A100,Sheet9!$A:$F,6,FALSE)</f>
        <v>For Rent</v>
      </c>
      <c r="L100" s="9">
        <f t="shared" si="1"/>
        <v>2</v>
      </c>
    </row>
    <row r="101" spans="1:12" ht="15" thickBot="1">
      <c r="A101" s="31">
        <v>2439750</v>
      </c>
      <c r="B101" s="35">
        <v>9436</v>
      </c>
      <c r="C101" s="35" t="s">
        <v>153</v>
      </c>
      <c r="D101" s="35">
        <v>4</v>
      </c>
      <c r="E101" s="35">
        <v>3</v>
      </c>
      <c r="F101" s="36">
        <v>43634</v>
      </c>
      <c r="G101" s="9">
        <f>VLOOKUP(A101,Sheet9!$A:$F,2,FALSE)</f>
        <v>21200000</v>
      </c>
      <c r="H101" s="9" t="str">
        <f>VLOOKUP(A101,Sheet9!$A:$F,3,FALSE )</f>
        <v>Askari</v>
      </c>
      <c r="I101" s="9" t="str">
        <f>VLOOKUP(A101,Sheet9!$A:$F,4,FALSE)</f>
        <v>Lahore</v>
      </c>
      <c r="J101" s="9" t="str">
        <f>VLOOKUP(A101,Sheet9!$A:$F,5,FALSE)</f>
        <v>Punjab</v>
      </c>
      <c r="K101" s="9" t="str">
        <f>VLOOKUP(A101,Sheet9!$A:$F,6,FALSE)</f>
        <v>For Sale</v>
      </c>
      <c r="L101" s="9">
        <f t="shared" si="1"/>
        <v>2</v>
      </c>
    </row>
    <row r="102" spans="1:12" ht="15" thickBot="1">
      <c r="A102" s="31">
        <v>2439775</v>
      </c>
      <c r="B102" s="35">
        <v>9433</v>
      </c>
      <c r="C102" s="35" t="s">
        <v>153</v>
      </c>
      <c r="D102" s="35">
        <v>5</v>
      </c>
      <c r="E102" s="35">
        <v>4</v>
      </c>
      <c r="F102" s="36">
        <v>43634</v>
      </c>
      <c r="G102" s="9">
        <f>VLOOKUP(A102,Sheet9!$A:$F,2,FALSE)</f>
        <v>23000000</v>
      </c>
      <c r="H102" s="9" t="str">
        <f>VLOOKUP(A102,Sheet9!$A:$F,3,FALSE )</f>
        <v>Askari</v>
      </c>
      <c r="I102" s="9" t="str">
        <f>VLOOKUP(A102,Sheet9!$A:$F,4,FALSE)</f>
        <v>Lahore</v>
      </c>
      <c r="J102" s="9" t="str">
        <f>VLOOKUP(A102,Sheet9!$A:$F,5,FALSE)</f>
        <v>Punjab</v>
      </c>
      <c r="K102" s="9" t="str">
        <f>VLOOKUP(A102,Sheet9!$A:$F,6,FALSE)</f>
        <v>For Sale</v>
      </c>
      <c r="L102" s="9">
        <f t="shared" si="1"/>
        <v>2</v>
      </c>
    </row>
    <row r="103" spans="1:12" ht="15" thickBot="1">
      <c r="A103" s="31">
        <v>2439785</v>
      </c>
      <c r="B103" s="35">
        <v>9434</v>
      </c>
      <c r="C103" s="35" t="s">
        <v>153</v>
      </c>
      <c r="D103" s="35">
        <v>5</v>
      </c>
      <c r="E103" s="35">
        <v>4</v>
      </c>
      <c r="F103" s="36">
        <v>43634</v>
      </c>
      <c r="G103" s="9">
        <f>VLOOKUP(A103,Sheet9!$A:$F,2,FALSE)</f>
        <v>21500000</v>
      </c>
      <c r="H103" s="9" t="str">
        <f>VLOOKUP(A103,Sheet9!$A:$F,3,FALSE )</f>
        <v>Askari</v>
      </c>
      <c r="I103" s="9" t="str">
        <f>VLOOKUP(A103,Sheet9!$A:$F,4,FALSE)</f>
        <v>Lahore</v>
      </c>
      <c r="J103" s="9" t="str">
        <f>VLOOKUP(A103,Sheet9!$A:$F,5,FALSE)</f>
        <v>Punjab</v>
      </c>
      <c r="K103" s="9" t="str">
        <f>VLOOKUP(A103,Sheet9!$A:$F,6,FALSE)</f>
        <v>For Sale</v>
      </c>
      <c r="L103" s="9">
        <f t="shared" si="1"/>
        <v>2</v>
      </c>
    </row>
    <row r="104" spans="1:12" ht="15" thickBot="1">
      <c r="A104" s="31">
        <v>2439790</v>
      </c>
      <c r="B104" s="35">
        <v>9435</v>
      </c>
      <c r="C104" s="35" t="s">
        <v>153</v>
      </c>
      <c r="D104" s="35">
        <v>5</v>
      </c>
      <c r="E104" s="35">
        <v>4</v>
      </c>
      <c r="F104" s="36">
        <v>43634</v>
      </c>
      <c r="G104" s="9">
        <f>VLOOKUP(A104,Sheet9!$A:$F,2,FALSE)</f>
        <v>21500000</v>
      </c>
      <c r="H104" s="9" t="str">
        <f>VLOOKUP(A104,Sheet9!$A:$F,3,FALSE )</f>
        <v>Askari</v>
      </c>
      <c r="I104" s="9" t="str">
        <f>VLOOKUP(A104,Sheet9!$A:$F,4,FALSE)</f>
        <v>Lahore</v>
      </c>
      <c r="J104" s="9" t="str">
        <f>VLOOKUP(A104,Sheet9!$A:$F,5,FALSE)</f>
        <v>Punjab</v>
      </c>
      <c r="K104" s="9" t="str">
        <f>VLOOKUP(A104,Sheet9!$A:$F,6,FALSE)</f>
        <v>For Sale</v>
      </c>
      <c r="L104" s="9">
        <f t="shared" si="1"/>
        <v>2</v>
      </c>
    </row>
    <row r="105" spans="1:12" ht="15" thickBot="1">
      <c r="A105" s="31">
        <v>2471472</v>
      </c>
      <c r="B105" s="35">
        <v>9433</v>
      </c>
      <c r="C105" s="35" t="s">
        <v>153</v>
      </c>
      <c r="D105" s="35">
        <v>6</v>
      </c>
      <c r="E105" s="35">
        <v>5</v>
      </c>
      <c r="F105" s="36">
        <v>43634</v>
      </c>
      <c r="G105" s="9">
        <f>VLOOKUP(A105,Sheet9!$A:$F,2,FALSE)</f>
        <v>40000000</v>
      </c>
      <c r="H105" s="9" t="str">
        <f>VLOOKUP(A105,Sheet9!$A:$F,3,FALSE )</f>
        <v>Askari</v>
      </c>
      <c r="I105" s="9" t="str">
        <f>VLOOKUP(A105,Sheet9!$A:$F,4,FALSE)</f>
        <v>Lahore</v>
      </c>
      <c r="J105" s="9" t="str">
        <f>VLOOKUP(A105,Sheet9!$A:$F,5,FALSE)</f>
        <v>Punjab</v>
      </c>
      <c r="K105" s="9" t="str">
        <f>VLOOKUP(A105,Sheet9!$A:$F,6,FALSE)</f>
        <v>For Sale</v>
      </c>
      <c r="L105" s="9">
        <f t="shared" si="1"/>
        <v>2</v>
      </c>
    </row>
    <row r="106" spans="1:12" ht="15" thickBot="1">
      <c r="A106" s="31">
        <v>2471478</v>
      </c>
      <c r="B106" s="35">
        <v>9435</v>
      </c>
      <c r="C106" s="35" t="s">
        <v>153</v>
      </c>
      <c r="D106" s="35">
        <v>5</v>
      </c>
      <c r="E106" s="35">
        <v>4</v>
      </c>
      <c r="F106" s="36">
        <v>43634</v>
      </c>
      <c r="G106" s="9">
        <f>VLOOKUP(A106,Sheet9!$A:$F,2,FALSE)</f>
        <v>26000000</v>
      </c>
      <c r="H106" s="9" t="str">
        <f>VLOOKUP(A106,Sheet9!$A:$F,3,FALSE )</f>
        <v>Askari</v>
      </c>
      <c r="I106" s="9" t="str">
        <f>VLOOKUP(A106,Sheet9!$A:$F,4,FALSE)</f>
        <v>Lahore</v>
      </c>
      <c r="J106" s="9" t="str">
        <f>VLOOKUP(A106,Sheet9!$A:$F,5,FALSE)</f>
        <v>Punjab</v>
      </c>
      <c r="K106" s="9" t="str">
        <f>VLOOKUP(A106,Sheet9!$A:$F,6,FALSE)</f>
        <v>For Sale</v>
      </c>
      <c r="L106" s="9">
        <f t="shared" si="1"/>
        <v>2</v>
      </c>
    </row>
    <row r="107" spans="1:12" ht="15" thickBot="1">
      <c r="A107" s="31">
        <v>2478189</v>
      </c>
      <c r="B107" s="35">
        <v>198</v>
      </c>
      <c r="C107" s="35" t="s">
        <v>154</v>
      </c>
      <c r="D107" s="35">
        <v>0</v>
      </c>
      <c r="E107" s="35">
        <v>3</v>
      </c>
      <c r="F107" s="36">
        <v>43512</v>
      </c>
      <c r="G107" s="9">
        <f>VLOOKUP(A107,Sheet9!$A:$F,2,FALSE)</f>
        <v>45000000</v>
      </c>
      <c r="H107" s="9" t="str">
        <f>VLOOKUP(A107,Sheet9!$A:$F,3,FALSE )</f>
        <v>Bath Island</v>
      </c>
      <c r="I107" s="9" t="str">
        <f>VLOOKUP(A107,Sheet9!$A:$F,4,FALSE)</f>
        <v>Karachi</v>
      </c>
      <c r="J107" s="9" t="str">
        <f>VLOOKUP(A107,Sheet9!$A:$F,5,FALSE)</f>
        <v>Sindh</v>
      </c>
      <c r="K107" s="9" t="str">
        <f>VLOOKUP(A107,Sheet9!$A:$F,6,FALSE)</f>
        <v>For Sale</v>
      </c>
      <c r="L107" s="9">
        <f t="shared" si="1"/>
        <v>1</v>
      </c>
    </row>
    <row r="108" spans="1:12" ht="15" thickBot="1">
      <c r="A108" s="31">
        <v>2502517</v>
      </c>
      <c r="B108" s="35">
        <v>1230</v>
      </c>
      <c r="C108" s="35" t="s">
        <v>153</v>
      </c>
      <c r="D108" s="35">
        <v>6</v>
      </c>
      <c r="E108" s="35">
        <v>5</v>
      </c>
      <c r="F108" s="36">
        <v>43649</v>
      </c>
      <c r="G108" s="9">
        <f>VLOOKUP(A108,Sheet9!$A:$F,2,FALSE)</f>
        <v>25000000</v>
      </c>
      <c r="H108" s="9" t="str">
        <f>VLOOKUP(A108,Sheet9!$A:$F,3,FALSE )</f>
        <v>Millat Town</v>
      </c>
      <c r="I108" s="9" t="str">
        <f>VLOOKUP(A108,Sheet9!$A:$F,4,FALSE)</f>
        <v>Faisalabad</v>
      </c>
      <c r="J108" s="9" t="str">
        <f>VLOOKUP(A108,Sheet9!$A:$F,5,FALSE)</f>
        <v>Punjab</v>
      </c>
      <c r="K108" s="9" t="str">
        <f>VLOOKUP(A108,Sheet9!$A:$F,6,FALSE)</f>
        <v>For Sale</v>
      </c>
      <c r="L108" s="9">
        <f t="shared" si="1"/>
        <v>2</v>
      </c>
    </row>
    <row r="109" spans="1:12" ht="15" thickBot="1">
      <c r="A109" s="31">
        <v>2510609</v>
      </c>
      <c r="B109" s="35">
        <v>9433</v>
      </c>
      <c r="C109" s="35" t="s">
        <v>153</v>
      </c>
      <c r="D109" s="35">
        <v>4</v>
      </c>
      <c r="E109" s="35">
        <v>4</v>
      </c>
      <c r="F109" s="36">
        <v>43634</v>
      </c>
      <c r="G109" s="9">
        <f>VLOOKUP(A109,Sheet9!$A:$F,2,FALSE)</f>
        <v>21000000</v>
      </c>
      <c r="H109" s="9" t="str">
        <f>VLOOKUP(A109,Sheet9!$A:$F,3,FALSE )</f>
        <v>Askari</v>
      </c>
      <c r="I109" s="9" t="str">
        <f>VLOOKUP(A109,Sheet9!$A:$F,4,FALSE)</f>
        <v>Lahore</v>
      </c>
      <c r="J109" s="9" t="str">
        <f>VLOOKUP(A109,Sheet9!$A:$F,5,FALSE)</f>
        <v>Punjab</v>
      </c>
      <c r="K109" s="9" t="str">
        <f>VLOOKUP(A109,Sheet9!$A:$F,6,FALSE)</f>
        <v>For Sale</v>
      </c>
      <c r="L109" s="9">
        <f t="shared" si="1"/>
        <v>2</v>
      </c>
    </row>
    <row r="110" spans="1:12" ht="15" thickBot="1">
      <c r="A110" s="31">
        <v>2510625</v>
      </c>
      <c r="B110" s="35">
        <v>9434</v>
      </c>
      <c r="C110" s="35" t="s">
        <v>153</v>
      </c>
      <c r="D110" s="35">
        <v>5</v>
      </c>
      <c r="E110" s="35">
        <v>4</v>
      </c>
      <c r="F110" s="36">
        <v>43634</v>
      </c>
      <c r="G110" s="9">
        <f>VLOOKUP(A110,Sheet9!$A:$F,2,FALSE)</f>
        <v>23000000</v>
      </c>
      <c r="H110" s="9" t="str">
        <f>VLOOKUP(A110,Sheet9!$A:$F,3,FALSE )</f>
        <v>Askari</v>
      </c>
      <c r="I110" s="9" t="str">
        <f>VLOOKUP(A110,Sheet9!$A:$F,4,FALSE)</f>
        <v>Lahore</v>
      </c>
      <c r="J110" s="9" t="str">
        <f>VLOOKUP(A110,Sheet9!$A:$F,5,FALSE)</f>
        <v>Punjab</v>
      </c>
      <c r="K110" s="9" t="str">
        <f>VLOOKUP(A110,Sheet9!$A:$F,6,FALSE)</f>
        <v>For Sale</v>
      </c>
      <c r="L110" s="9">
        <f t="shared" si="1"/>
        <v>2</v>
      </c>
    </row>
    <row r="111" spans="1:12" ht="15" thickBot="1">
      <c r="A111" s="31">
        <v>2510674</v>
      </c>
      <c r="B111" s="35">
        <v>9435</v>
      </c>
      <c r="C111" s="35" t="s">
        <v>153</v>
      </c>
      <c r="D111" s="35">
        <v>6</v>
      </c>
      <c r="E111" s="35">
        <v>5</v>
      </c>
      <c r="F111" s="36">
        <v>43634</v>
      </c>
      <c r="G111" s="9">
        <f>VLOOKUP(A111,Sheet9!$A:$F,2,FALSE)</f>
        <v>23000000</v>
      </c>
      <c r="H111" s="9" t="str">
        <f>VLOOKUP(A111,Sheet9!$A:$F,3,FALSE )</f>
        <v>Askari</v>
      </c>
      <c r="I111" s="9" t="str">
        <f>VLOOKUP(A111,Sheet9!$A:$F,4,FALSE)</f>
        <v>Lahore</v>
      </c>
      <c r="J111" s="9" t="str">
        <f>VLOOKUP(A111,Sheet9!$A:$F,5,FALSE)</f>
        <v>Punjab</v>
      </c>
      <c r="K111" s="9" t="str">
        <f>VLOOKUP(A111,Sheet9!$A:$F,6,FALSE)</f>
        <v>For Sale</v>
      </c>
      <c r="L111" s="9">
        <f t="shared" si="1"/>
        <v>2</v>
      </c>
    </row>
    <row r="112" spans="1:12" ht="15" thickBot="1">
      <c r="A112" s="31">
        <v>2561049</v>
      </c>
      <c r="B112" s="35">
        <v>467</v>
      </c>
      <c r="C112" s="35" t="s">
        <v>153</v>
      </c>
      <c r="D112" s="35">
        <v>5</v>
      </c>
      <c r="E112" s="35">
        <v>6</v>
      </c>
      <c r="F112" s="36">
        <v>43651</v>
      </c>
      <c r="G112" s="9">
        <f>VLOOKUP(A112,Sheet9!$A:$F,2,FALSE)</f>
        <v>5000000</v>
      </c>
      <c r="H112" s="9" t="str">
        <f>VLOOKUP(A112,Sheet9!$A:$F,3,FALSE )</f>
        <v>Chakri Road</v>
      </c>
      <c r="I112" s="9" t="str">
        <f>VLOOKUP(A112,Sheet9!$A:$F,4,FALSE)</f>
        <v>Rawalpindi</v>
      </c>
      <c r="J112" s="9" t="str">
        <f>VLOOKUP(A112,Sheet9!$A:$F,5,FALSE)</f>
        <v>Punjab</v>
      </c>
      <c r="K112" s="9" t="str">
        <f>VLOOKUP(A112,Sheet9!$A:$F,6,FALSE)</f>
        <v>For Sale</v>
      </c>
      <c r="L112" s="9">
        <f t="shared" si="1"/>
        <v>2</v>
      </c>
    </row>
    <row r="113" spans="1:12" ht="15" thickBot="1">
      <c r="A113" s="31">
        <v>2642166</v>
      </c>
      <c r="B113" s="35">
        <v>3331</v>
      </c>
      <c r="C113" s="35" t="s">
        <v>153</v>
      </c>
      <c r="D113" s="35">
        <v>7</v>
      </c>
      <c r="E113" s="35">
        <v>6</v>
      </c>
      <c r="F113" s="36">
        <v>43663</v>
      </c>
      <c r="G113" s="9">
        <f>VLOOKUP(A113,Sheet9!$A:$F,2,FALSE)</f>
        <v>55000000</v>
      </c>
      <c r="H113" s="9" t="str">
        <f>VLOOKUP(A113,Sheet9!$A:$F,3,FALSE )</f>
        <v>G-11</v>
      </c>
      <c r="I113" s="9" t="str">
        <f>VLOOKUP(A113,Sheet9!$A:$F,4,FALSE)</f>
        <v>Islamabad</v>
      </c>
      <c r="J113" s="9" t="str">
        <f>VLOOKUP(A113,Sheet9!$A:$F,5,FALSE)</f>
        <v>Islamabad Capital</v>
      </c>
      <c r="K113" s="9" t="str">
        <f>VLOOKUP(A113,Sheet9!$A:$F,6,FALSE)</f>
        <v>For Sale</v>
      </c>
      <c r="L113" s="9">
        <f t="shared" si="1"/>
        <v>3</v>
      </c>
    </row>
    <row r="114" spans="1:12" ht="15" thickBot="1">
      <c r="A114" s="31">
        <v>2642249</v>
      </c>
      <c r="B114" s="35">
        <v>156</v>
      </c>
      <c r="C114" s="35" t="s">
        <v>153</v>
      </c>
      <c r="D114" s="35">
        <v>3</v>
      </c>
      <c r="E114" s="35">
        <v>3</v>
      </c>
      <c r="F114" s="36">
        <v>43500</v>
      </c>
      <c r="G114" s="9">
        <f>VLOOKUP(A114,Sheet9!$A:$F,2,FALSE)</f>
        <v>4500000</v>
      </c>
      <c r="H114" s="9" t="str">
        <f>VLOOKUP(A114,Sheet9!$A:$F,3,FALSE )</f>
        <v>Bhara kahu</v>
      </c>
      <c r="I114" s="9" t="str">
        <f>VLOOKUP(A114,Sheet9!$A:$F,4,FALSE)</f>
        <v>Islamabad</v>
      </c>
      <c r="J114" s="9" t="str">
        <f>VLOOKUP(A114,Sheet9!$A:$F,5,FALSE)</f>
        <v>Islamabad Capital</v>
      </c>
      <c r="K114" s="9" t="str">
        <f>VLOOKUP(A114,Sheet9!$A:$F,6,FALSE)</f>
        <v>For Sale</v>
      </c>
      <c r="L114" s="9">
        <f t="shared" si="1"/>
        <v>3</v>
      </c>
    </row>
    <row r="115" spans="1:12" ht="15" thickBot="1">
      <c r="A115" s="31">
        <v>2651838</v>
      </c>
      <c r="B115" s="35">
        <v>340</v>
      </c>
      <c r="C115" s="35" t="s">
        <v>158</v>
      </c>
      <c r="D115" s="35">
        <v>3</v>
      </c>
      <c r="E115" s="35">
        <v>3</v>
      </c>
      <c r="F115" s="36">
        <v>43530</v>
      </c>
      <c r="G115" s="9">
        <f>VLOOKUP(A115,Sheet9!$A:$F,2,FALSE)</f>
        <v>88500000</v>
      </c>
      <c r="H115" s="9" t="str">
        <f>VLOOKUP(A115,Sheet9!$A:$F,3,FALSE )</f>
        <v>Bani Gala</v>
      </c>
      <c r="I115" s="9" t="str">
        <f>VLOOKUP(A115,Sheet9!$A:$F,4,FALSE)</f>
        <v>Islamabad</v>
      </c>
      <c r="J115" s="9" t="str">
        <f>VLOOKUP(A115,Sheet9!$A:$F,5,FALSE)</f>
        <v>Islamabad Capital</v>
      </c>
      <c r="K115" s="9" t="str">
        <f>VLOOKUP(A115,Sheet9!$A:$F,6,FALSE)</f>
        <v>For Sale</v>
      </c>
      <c r="L115" s="9">
        <f t="shared" si="1"/>
        <v>3</v>
      </c>
    </row>
    <row r="116" spans="1:12" ht="15" thickBot="1">
      <c r="A116" s="31">
        <v>2682075</v>
      </c>
      <c r="B116" s="35">
        <v>429</v>
      </c>
      <c r="C116" s="35" t="s">
        <v>154</v>
      </c>
      <c r="D116" s="35">
        <v>2</v>
      </c>
      <c r="E116" s="35">
        <v>3</v>
      </c>
      <c r="F116" s="36">
        <v>43590</v>
      </c>
      <c r="G116" s="9">
        <f>VLOOKUP(A116,Sheet9!$A:$F,2,FALSE)</f>
        <v>47000000</v>
      </c>
      <c r="H116" s="9" t="str">
        <f>VLOOKUP(A116,Sheet9!$A:$F,3,FALSE )</f>
        <v>Diplomatic Enclave</v>
      </c>
      <c r="I116" s="9" t="str">
        <f>VLOOKUP(A116,Sheet9!$A:$F,4,FALSE)</f>
        <v>Islamabad</v>
      </c>
      <c r="J116" s="9" t="str">
        <f>VLOOKUP(A116,Sheet9!$A:$F,5,FALSE)</f>
        <v>Islamabad Capital</v>
      </c>
      <c r="K116" s="9" t="str">
        <f>VLOOKUP(A116,Sheet9!$A:$F,6,FALSE)</f>
        <v>For Sale</v>
      </c>
      <c r="L116" s="9">
        <f t="shared" si="1"/>
        <v>3</v>
      </c>
    </row>
    <row r="117" spans="1:12" ht="15" thickBot="1">
      <c r="A117" s="31">
        <v>2720301</v>
      </c>
      <c r="B117" s="35">
        <v>3082</v>
      </c>
      <c r="C117" s="35" t="s">
        <v>153</v>
      </c>
      <c r="D117" s="35">
        <v>6</v>
      </c>
      <c r="E117" s="35">
        <v>5</v>
      </c>
      <c r="F117" s="36">
        <v>43651</v>
      </c>
      <c r="G117" s="9">
        <f>VLOOKUP(A117,Sheet9!$A:$F,2,FALSE)</f>
        <v>22000000</v>
      </c>
      <c r="H117" s="9" t="str">
        <f>VLOOKUP(A117,Sheet9!$A:$F,3,FALSE )</f>
        <v>Bahria Town Rawalpindi</v>
      </c>
      <c r="I117" s="9" t="str">
        <f>VLOOKUP(A117,Sheet9!$A:$F,4,FALSE)</f>
        <v>Rawalpindi</v>
      </c>
      <c r="J117" s="9" t="str">
        <f>VLOOKUP(A117,Sheet9!$A:$F,5,FALSE)</f>
        <v>Punjab</v>
      </c>
      <c r="K117" s="9" t="str">
        <f>VLOOKUP(A117,Sheet9!$A:$F,6,FALSE)</f>
        <v>For Sale</v>
      </c>
      <c r="L117" s="9">
        <f t="shared" si="1"/>
        <v>2</v>
      </c>
    </row>
    <row r="118" spans="1:12" ht="15" thickBot="1">
      <c r="A118" s="31">
        <v>2720314</v>
      </c>
      <c r="B118" s="35">
        <v>3082</v>
      </c>
      <c r="C118" s="35" t="s">
        <v>153</v>
      </c>
      <c r="D118" s="35">
        <v>7</v>
      </c>
      <c r="E118" s="35">
        <v>6</v>
      </c>
      <c r="F118" s="36">
        <v>43651</v>
      </c>
      <c r="G118" s="9">
        <f>VLOOKUP(A118,Sheet9!$A:$F,2,FALSE)</f>
        <v>38000000</v>
      </c>
      <c r="H118" s="9" t="str">
        <f>VLOOKUP(A118,Sheet9!$A:$F,3,FALSE )</f>
        <v>Bahria Town Rawalpindi</v>
      </c>
      <c r="I118" s="9" t="str">
        <f>VLOOKUP(A118,Sheet9!$A:$F,4,FALSE)</f>
        <v>Rawalpindi</v>
      </c>
      <c r="J118" s="9" t="str">
        <f>VLOOKUP(A118,Sheet9!$A:$F,5,FALSE)</f>
        <v>Punjab</v>
      </c>
      <c r="K118" s="9" t="str">
        <f>VLOOKUP(A118,Sheet9!$A:$F,6,FALSE)</f>
        <v>For Sale</v>
      </c>
      <c r="L118" s="9">
        <f t="shared" si="1"/>
        <v>2</v>
      </c>
    </row>
    <row r="119" spans="1:12" ht="15" thickBot="1">
      <c r="A119" s="31">
        <v>2727355</v>
      </c>
      <c r="B119" s="35">
        <v>6865</v>
      </c>
      <c r="C119" s="35" t="s">
        <v>153</v>
      </c>
      <c r="D119" s="35">
        <v>5</v>
      </c>
      <c r="E119" s="35">
        <v>4</v>
      </c>
      <c r="F119" s="36">
        <v>43543</v>
      </c>
      <c r="G119" s="9">
        <f>VLOOKUP(A119,Sheet9!$A:$F,2,FALSE)</f>
        <v>17000000</v>
      </c>
      <c r="H119" s="9" t="str">
        <f>VLOOKUP(A119,Sheet9!$A:$F,3,FALSE )</f>
        <v>Gulshan-e-Iqbal Town</v>
      </c>
      <c r="I119" s="9" t="str">
        <f>VLOOKUP(A119,Sheet9!$A:$F,4,FALSE)</f>
        <v>Karachi</v>
      </c>
      <c r="J119" s="9" t="str">
        <f>VLOOKUP(A119,Sheet9!$A:$F,5,FALSE)</f>
        <v>Sindh</v>
      </c>
      <c r="K119" s="9" t="str">
        <f>VLOOKUP(A119,Sheet9!$A:$F,6,FALSE)</f>
        <v>For Sale</v>
      </c>
      <c r="L119" s="9">
        <f t="shared" si="1"/>
        <v>1</v>
      </c>
    </row>
    <row r="120" spans="1:12" ht="15" thickBot="1">
      <c r="A120" s="31">
        <v>2733346</v>
      </c>
      <c r="B120" s="35">
        <v>6861</v>
      </c>
      <c r="C120" s="35" t="s">
        <v>154</v>
      </c>
      <c r="D120" s="35">
        <v>3</v>
      </c>
      <c r="E120" s="35">
        <v>3</v>
      </c>
      <c r="F120" s="36">
        <v>43621</v>
      </c>
      <c r="G120" s="9">
        <f>VLOOKUP(A120,Sheet9!$A:$F,2,FALSE)</f>
        <v>12500000</v>
      </c>
      <c r="H120" s="9" t="str">
        <f>VLOOKUP(A120,Sheet9!$A:$F,3,FALSE )</f>
        <v>Gulshan-e-Iqbal Town</v>
      </c>
      <c r="I120" s="9" t="str">
        <f>VLOOKUP(A120,Sheet9!$A:$F,4,FALSE)</f>
        <v>Karachi</v>
      </c>
      <c r="J120" s="9" t="str">
        <f>VLOOKUP(A120,Sheet9!$A:$F,5,FALSE)</f>
        <v>Sindh</v>
      </c>
      <c r="K120" s="9" t="str">
        <f>VLOOKUP(A120,Sheet9!$A:$F,6,FALSE)</f>
        <v>For Sale</v>
      </c>
      <c r="L120" s="9">
        <f t="shared" si="1"/>
        <v>1</v>
      </c>
    </row>
    <row r="121" spans="1:12" ht="15" thickBot="1">
      <c r="A121" s="31">
        <v>2747251</v>
      </c>
      <c r="B121" s="35">
        <v>3749</v>
      </c>
      <c r="C121" s="35" t="s">
        <v>153</v>
      </c>
      <c r="D121" s="35">
        <v>5</v>
      </c>
      <c r="E121" s="35">
        <v>5</v>
      </c>
      <c r="F121" s="36">
        <v>43558</v>
      </c>
      <c r="G121" s="9">
        <f>VLOOKUP(A121,Sheet9!$A:$F,2,FALSE)</f>
        <v>57500000</v>
      </c>
      <c r="H121" s="9" t="str">
        <f>VLOOKUP(A121,Sheet9!$A:$F,3,FALSE )</f>
        <v>EME Society</v>
      </c>
      <c r="I121" s="9" t="str">
        <f>VLOOKUP(A121,Sheet9!$A:$F,4,FALSE)</f>
        <v>Lahore</v>
      </c>
      <c r="J121" s="9" t="str">
        <f>VLOOKUP(A121,Sheet9!$A:$F,5,FALSE)</f>
        <v>Punjab</v>
      </c>
      <c r="K121" s="9" t="str">
        <f>VLOOKUP(A121,Sheet9!$A:$F,6,FALSE)</f>
        <v>For Sale</v>
      </c>
      <c r="L121" s="9">
        <f t="shared" si="1"/>
        <v>2</v>
      </c>
    </row>
    <row r="122" spans="1:12" ht="15" thickBot="1">
      <c r="A122" s="31">
        <v>2755668</v>
      </c>
      <c r="B122" s="35">
        <v>235</v>
      </c>
      <c r="C122" s="35" t="s">
        <v>154</v>
      </c>
      <c r="D122" s="35">
        <v>0</v>
      </c>
      <c r="E122" s="35">
        <v>2</v>
      </c>
      <c r="F122" s="36">
        <v>43423</v>
      </c>
      <c r="G122" s="9">
        <f>VLOOKUP(A122,Sheet9!$A:$F,2,FALSE)</f>
        <v>5000000</v>
      </c>
      <c r="H122" s="9" t="str">
        <f>VLOOKUP(A122,Sheet9!$A:$F,3,FALSE )</f>
        <v>Gulshan-e-Iqbal Town</v>
      </c>
      <c r="I122" s="9" t="str">
        <f>VLOOKUP(A122,Sheet9!$A:$F,4,FALSE)</f>
        <v>Karachi</v>
      </c>
      <c r="J122" s="9" t="str">
        <f>VLOOKUP(A122,Sheet9!$A:$F,5,FALSE)</f>
        <v>Sindh</v>
      </c>
      <c r="K122" s="9" t="str">
        <f>VLOOKUP(A122,Sheet9!$A:$F,6,FALSE)</f>
        <v>For Sale</v>
      </c>
      <c r="L122" s="9">
        <f t="shared" si="1"/>
        <v>1</v>
      </c>
    </row>
    <row r="123" spans="1:12" ht="15" thickBot="1">
      <c r="A123" s="31">
        <v>2771097</v>
      </c>
      <c r="B123" s="35">
        <v>8257</v>
      </c>
      <c r="C123" s="35" t="s">
        <v>153</v>
      </c>
      <c r="D123" s="35">
        <v>4</v>
      </c>
      <c r="E123" s="35">
        <v>4</v>
      </c>
      <c r="F123" s="36">
        <v>43470</v>
      </c>
      <c r="G123" s="9">
        <f>VLOOKUP(A123,Sheet9!$A:$F,2,FALSE)</f>
        <v>4500000</v>
      </c>
      <c r="H123" s="9" t="str">
        <f>VLOOKUP(A123,Sheet9!$A:$F,3,FALSE )</f>
        <v>Garden Town</v>
      </c>
      <c r="I123" s="9" t="str">
        <f>VLOOKUP(A123,Sheet9!$A:$F,4,FALSE)</f>
        <v>Islamabad</v>
      </c>
      <c r="J123" s="9" t="str">
        <f>VLOOKUP(A123,Sheet9!$A:$F,5,FALSE)</f>
        <v>Islamabad Capital</v>
      </c>
      <c r="K123" s="9" t="str">
        <f>VLOOKUP(A123,Sheet9!$A:$F,6,FALSE)</f>
        <v>For Sale</v>
      </c>
      <c r="L123" s="9">
        <f t="shared" si="1"/>
        <v>3</v>
      </c>
    </row>
    <row r="124" spans="1:12" ht="15" thickBot="1">
      <c r="A124" s="31">
        <v>2794766</v>
      </c>
      <c r="B124" s="35">
        <v>3794</v>
      </c>
      <c r="C124" s="35" t="s">
        <v>153</v>
      </c>
      <c r="D124" s="35">
        <v>8</v>
      </c>
      <c r="E124" s="35">
        <v>8</v>
      </c>
      <c r="F124" s="36">
        <v>43588</v>
      </c>
      <c r="G124" s="9">
        <f>VLOOKUP(A124,Sheet9!$A:$F,2,FALSE)</f>
        <v>620000000</v>
      </c>
      <c r="H124" s="9" t="str">
        <f>VLOOKUP(A124,Sheet9!$A:$F,3,FALSE )</f>
        <v>GOR</v>
      </c>
      <c r="I124" s="9" t="str">
        <f>VLOOKUP(A124,Sheet9!$A:$F,4,FALSE)</f>
        <v>Lahore</v>
      </c>
      <c r="J124" s="9" t="str">
        <f>VLOOKUP(A124,Sheet9!$A:$F,5,FALSE)</f>
        <v>Punjab</v>
      </c>
      <c r="K124" s="9" t="str">
        <f>VLOOKUP(A124,Sheet9!$A:$F,6,FALSE)</f>
        <v>For Sale</v>
      </c>
      <c r="L124" s="9">
        <f t="shared" si="1"/>
        <v>2</v>
      </c>
    </row>
    <row r="125" spans="1:12" ht="15" thickBot="1">
      <c r="A125" s="31">
        <v>2799588</v>
      </c>
      <c r="B125" s="35">
        <v>5036</v>
      </c>
      <c r="C125" s="35" t="s">
        <v>153</v>
      </c>
      <c r="D125" s="35">
        <v>2</v>
      </c>
      <c r="E125" s="35">
        <v>4</v>
      </c>
      <c r="F125" s="36">
        <v>43635</v>
      </c>
      <c r="G125" s="9">
        <f>VLOOKUP(A125,Sheet9!$A:$F,2,FALSE)</f>
        <v>6000000</v>
      </c>
      <c r="H125" s="9" t="str">
        <f>VLOOKUP(A125,Sheet9!$A:$F,3,FALSE )</f>
        <v>Raza Abad</v>
      </c>
      <c r="I125" s="9" t="str">
        <f>VLOOKUP(A125,Sheet9!$A:$F,4,FALSE)</f>
        <v>Faisalabad</v>
      </c>
      <c r="J125" s="9" t="str">
        <f>VLOOKUP(A125,Sheet9!$A:$F,5,FALSE)</f>
        <v>Punjab</v>
      </c>
      <c r="K125" s="9" t="str">
        <f>VLOOKUP(A125,Sheet9!$A:$F,6,FALSE)</f>
        <v>For Sale</v>
      </c>
      <c r="L125" s="9">
        <f t="shared" si="1"/>
        <v>2</v>
      </c>
    </row>
    <row r="126" spans="1:12" ht="15" thickBot="1">
      <c r="A126" s="31">
        <v>2800276</v>
      </c>
      <c r="B126" s="35">
        <v>1504</v>
      </c>
      <c r="C126" s="35" t="s">
        <v>153</v>
      </c>
      <c r="D126" s="35">
        <v>4</v>
      </c>
      <c r="E126" s="35">
        <v>4</v>
      </c>
      <c r="F126" s="36">
        <v>43530</v>
      </c>
      <c r="G126" s="9">
        <f>VLOOKUP(A126,Sheet9!$A:$F,2,FALSE)</f>
        <v>18000000</v>
      </c>
      <c r="H126" s="9" t="str">
        <f>VLOOKUP(A126,Sheet9!$A:$F,3,FALSE )</f>
        <v>Askari 14</v>
      </c>
      <c r="I126" s="9" t="str">
        <f>VLOOKUP(A126,Sheet9!$A:$F,4,FALSE)</f>
        <v>Rawalpindi</v>
      </c>
      <c r="J126" s="9" t="str">
        <f>VLOOKUP(A126,Sheet9!$A:$F,5,FALSE)</f>
        <v>Punjab</v>
      </c>
      <c r="K126" s="9" t="str">
        <f>VLOOKUP(A126,Sheet9!$A:$F,6,FALSE)</f>
        <v>For Sale</v>
      </c>
      <c r="L126" s="9">
        <f t="shared" si="1"/>
        <v>2</v>
      </c>
    </row>
    <row r="127" spans="1:12" ht="15" thickBot="1">
      <c r="A127" s="31">
        <v>2800278</v>
      </c>
      <c r="B127" s="35">
        <v>1515</v>
      </c>
      <c r="C127" s="35" t="s">
        <v>153</v>
      </c>
      <c r="D127" s="35">
        <v>5</v>
      </c>
      <c r="E127" s="35">
        <v>4</v>
      </c>
      <c r="F127" s="36">
        <v>43643</v>
      </c>
      <c r="G127" s="9">
        <f>VLOOKUP(A127,Sheet9!$A:$F,2,FALSE)</f>
        <v>25000000</v>
      </c>
      <c r="H127" s="9" t="str">
        <f>VLOOKUP(A127,Sheet9!$A:$F,3,FALSE )</f>
        <v>Askari 13</v>
      </c>
      <c r="I127" s="9" t="str">
        <f>VLOOKUP(A127,Sheet9!$A:$F,4,FALSE)</f>
        <v>Rawalpindi</v>
      </c>
      <c r="J127" s="9" t="str">
        <f>VLOOKUP(A127,Sheet9!$A:$F,5,FALSE)</f>
        <v>Punjab</v>
      </c>
      <c r="K127" s="9" t="str">
        <f>VLOOKUP(A127,Sheet9!$A:$F,6,FALSE)</f>
        <v>For Sale</v>
      </c>
      <c r="L127" s="9">
        <f t="shared" si="1"/>
        <v>2</v>
      </c>
    </row>
    <row r="128" spans="1:12" ht="15" thickBot="1">
      <c r="A128" s="31">
        <v>2800283</v>
      </c>
      <c r="B128" s="35">
        <v>5990</v>
      </c>
      <c r="C128" s="35" t="s">
        <v>153</v>
      </c>
      <c r="D128" s="35">
        <v>6</v>
      </c>
      <c r="E128" s="35">
        <v>4</v>
      </c>
      <c r="F128" s="36">
        <v>43620</v>
      </c>
      <c r="G128" s="9">
        <f>VLOOKUP(A128,Sheet9!$A:$F,2,FALSE)</f>
        <v>30000000</v>
      </c>
      <c r="H128" s="9" t="str">
        <f>VLOOKUP(A128,Sheet9!$A:$F,3,FALSE )</f>
        <v>Askari 12</v>
      </c>
      <c r="I128" s="9" t="str">
        <f>VLOOKUP(A128,Sheet9!$A:$F,4,FALSE)</f>
        <v>Rawalpindi</v>
      </c>
      <c r="J128" s="9" t="str">
        <f>VLOOKUP(A128,Sheet9!$A:$F,5,FALSE)</f>
        <v>Punjab</v>
      </c>
      <c r="K128" s="9" t="str">
        <f>VLOOKUP(A128,Sheet9!$A:$F,6,FALSE)</f>
        <v>For Sale</v>
      </c>
      <c r="L128" s="9">
        <f t="shared" si="1"/>
        <v>2</v>
      </c>
    </row>
    <row r="129" spans="1:12" ht="15" thickBot="1">
      <c r="A129" s="31">
        <v>2800285</v>
      </c>
      <c r="B129" s="35">
        <v>1515</v>
      </c>
      <c r="C129" s="35" t="s">
        <v>153</v>
      </c>
      <c r="D129" s="35">
        <v>5</v>
      </c>
      <c r="E129" s="35">
        <v>4</v>
      </c>
      <c r="F129" s="36">
        <v>43643</v>
      </c>
      <c r="G129" s="9">
        <f>VLOOKUP(A129,Sheet9!$A:$F,2,FALSE)</f>
        <v>23000000</v>
      </c>
      <c r="H129" s="9" t="str">
        <f>VLOOKUP(A129,Sheet9!$A:$F,3,FALSE )</f>
        <v>Askari 13</v>
      </c>
      <c r="I129" s="9" t="str">
        <f>VLOOKUP(A129,Sheet9!$A:$F,4,FALSE)</f>
        <v>Rawalpindi</v>
      </c>
      <c r="J129" s="9" t="str">
        <f>VLOOKUP(A129,Sheet9!$A:$F,5,FALSE)</f>
        <v>Punjab</v>
      </c>
      <c r="K129" s="9" t="str">
        <f>VLOOKUP(A129,Sheet9!$A:$F,6,FALSE)</f>
        <v>For Sale</v>
      </c>
      <c r="L129" s="9">
        <f t="shared" si="1"/>
        <v>2</v>
      </c>
    </row>
    <row r="130" spans="1:12" ht="15" thickBot="1">
      <c r="A130" s="31">
        <v>2801879</v>
      </c>
      <c r="B130" s="35">
        <v>1494</v>
      </c>
      <c r="C130" s="35" t="s">
        <v>153</v>
      </c>
      <c r="D130" s="35">
        <v>3</v>
      </c>
      <c r="E130" s="35">
        <v>3</v>
      </c>
      <c r="F130" s="36">
        <v>43627</v>
      </c>
      <c r="G130" s="9">
        <f>VLOOKUP(A130,Sheet9!$A:$F,2,FALSE)</f>
        <v>5500000</v>
      </c>
      <c r="H130" s="9" t="str">
        <f>VLOOKUP(A130,Sheet9!$A:$F,3,FALSE )</f>
        <v>Karim Park</v>
      </c>
      <c r="I130" s="9" t="str">
        <f>VLOOKUP(A130,Sheet9!$A:$F,4,FALSE)</f>
        <v>Lahore</v>
      </c>
      <c r="J130" s="9" t="str">
        <f>VLOOKUP(A130,Sheet9!$A:$F,5,FALSE)</f>
        <v>Punjab</v>
      </c>
      <c r="K130" s="9" t="str">
        <f>VLOOKUP(A130,Sheet9!$A:$F,6,FALSE)</f>
        <v>For Sale</v>
      </c>
      <c r="L130" s="9">
        <f t="shared" si="1"/>
        <v>2</v>
      </c>
    </row>
    <row r="131" spans="1:12" ht="15" thickBot="1">
      <c r="A131" s="31">
        <v>2804200</v>
      </c>
      <c r="B131" s="35">
        <v>9522</v>
      </c>
      <c r="C131" s="35" t="s">
        <v>154</v>
      </c>
      <c r="D131" s="35">
        <v>2</v>
      </c>
      <c r="E131" s="35">
        <v>2</v>
      </c>
      <c r="F131" s="36">
        <v>43623</v>
      </c>
      <c r="G131" s="9">
        <f>VLOOKUP(A131,Sheet9!$A:$F,2,FALSE)</f>
        <v>4100000</v>
      </c>
      <c r="H131" s="9" t="str">
        <f>VLOOKUP(A131,Sheet9!$A:$F,3,FALSE )</f>
        <v>Abul Hassan Isphani Road</v>
      </c>
      <c r="I131" s="9" t="str">
        <f>VLOOKUP(A131,Sheet9!$A:$F,4,FALSE)</f>
        <v>Karachi</v>
      </c>
      <c r="J131" s="9" t="str">
        <f>VLOOKUP(A131,Sheet9!$A:$F,5,FALSE)</f>
        <v>Sindh</v>
      </c>
      <c r="K131" s="9" t="str">
        <f>VLOOKUP(A131,Sheet9!$A:$F,6,FALSE)</f>
        <v>For Sale</v>
      </c>
      <c r="L131" s="9">
        <f t="shared" ref="L131:L194" si="2">HLOOKUP(J131,$N$1:$P$2,2,FALSE)</f>
        <v>1</v>
      </c>
    </row>
    <row r="132" spans="1:12" ht="15" thickBot="1">
      <c r="A132" s="31">
        <v>2805158</v>
      </c>
      <c r="B132" s="35">
        <v>7078</v>
      </c>
      <c r="C132" s="35" t="s">
        <v>153</v>
      </c>
      <c r="D132" s="35">
        <v>8</v>
      </c>
      <c r="E132" s="35">
        <v>11</v>
      </c>
      <c r="F132" s="36">
        <v>43513</v>
      </c>
      <c r="G132" s="9">
        <f>VLOOKUP(A132,Sheet9!$A:$F,2,FALSE)</f>
        <v>40000000</v>
      </c>
      <c r="H132" s="9" t="str">
        <f>VLOOKUP(A132,Sheet9!$A:$F,3,FALSE )</f>
        <v>Nazimabad</v>
      </c>
      <c r="I132" s="9" t="str">
        <f>VLOOKUP(A132,Sheet9!$A:$F,4,FALSE)</f>
        <v>Karachi</v>
      </c>
      <c r="J132" s="9" t="str">
        <f>VLOOKUP(A132,Sheet9!$A:$F,5,FALSE)</f>
        <v>Sindh</v>
      </c>
      <c r="K132" s="9" t="str">
        <f>VLOOKUP(A132,Sheet9!$A:$F,6,FALSE)</f>
        <v>For Sale</v>
      </c>
      <c r="L132" s="9">
        <f t="shared" si="2"/>
        <v>1</v>
      </c>
    </row>
    <row r="133" spans="1:12" ht="15" thickBot="1">
      <c r="A133" s="31">
        <v>2821111</v>
      </c>
      <c r="B133" s="35">
        <v>154</v>
      </c>
      <c r="C133" s="35" t="s">
        <v>153</v>
      </c>
      <c r="D133" s="35">
        <v>6</v>
      </c>
      <c r="E133" s="35">
        <v>5</v>
      </c>
      <c r="F133" s="36">
        <v>43649</v>
      </c>
      <c r="G133" s="9">
        <f>VLOOKUP(A133,Sheet9!$A:$F,2,FALSE)</f>
        <v>50000000</v>
      </c>
      <c r="H133" s="9" t="str">
        <f>VLOOKUP(A133,Sheet9!$A:$F,3,FALSE )</f>
        <v>Gulberg</v>
      </c>
      <c r="I133" s="9" t="str">
        <f>VLOOKUP(A133,Sheet9!$A:$F,4,FALSE)</f>
        <v>Lahore</v>
      </c>
      <c r="J133" s="9" t="str">
        <f>VLOOKUP(A133,Sheet9!$A:$F,5,FALSE)</f>
        <v>Punjab</v>
      </c>
      <c r="K133" s="9" t="str">
        <f>VLOOKUP(A133,Sheet9!$A:$F,6,FALSE)</f>
        <v>For Sale</v>
      </c>
      <c r="L133" s="9">
        <f t="shared" si="2"/>
        <v>2</v>
      </c>
    </row>
    <row r="134" spans="1:12" ht="15" thickBot="1">
      <c r="A134" s="31">
        <v>2842741</v>
      </c>
      <c r="B134" s="35">
        <v>3460</v>
      </c>
      <c r="C134" s="35" t="s">
        <v>153</v>
      </c>
      <c r="D134" s="35">
        <v>4</v>
      </c>
      <c r="E134" s="35">
        <v>4</v>
      </c>
      <c r="F134" s="36">
        <v>43663</v>
      </c>
      <c r="G134" s="9">
        <f>VLOOKUP(A134,Sheet9!$A:$F,2,FALSE)</f>
        <v>6800000</v>
      </c>
      <c r="H134" s="9" t="str">
        <f>VLOOKUP(A134,Sheet9!$A:$F,3,FALSE )</f>
        <v>Koral Town</v>
      </c>
      <c r="I134" s="9" t="str">
        <f>VLOOKUP(A134,Sheet9!$A:$F,4,FALSE)</f>
        <v>Islamabad</v>
      </c>
      <c r="J134" s="9" t="str">
        <f>VLOOKUP(A134,Sheet9!$A:$F,5,FALSE)</f>
        <v>Islamabad Capital</v>
      </c>
      <c r="K134" s="9" t="str">
        <f>VLOOKUP(A134,Sheet9!$A:$F,6,FALSE)</f>
        <v>For Sale</v>
      </c>
      <c r="L134" s="9">
        <f t="shared" si="2"/>
        <v>3</v>
      </c>
    </row>
    <row r="135" spans="1:12" ht="15" thickBot="1">
      <c r="A135" s="31">
        <v>2860713</v>
      </c>
      <c r="B135" s="35">
        <v>6655</v>
      </c>
      <c r="C135" s="35" t="s">
        <v>154</v>
      </c>
      <c r="D135" s="35">
        <v>3</v>
      </c>
      <c r="E135" s="35">
        <v>3</v>
      </c>
      <c r="F135" s="36">
        <v>43630</v>
      </c>
      <c r="G135" s="9">
        <f>VLOOKUP(A135,Sheet9!$A:$F,2,FALSE)</f>
        <v>28000000</v>
      </c>
      <c r="H135" s="9" t="str">
        <f>VLOOKUP(A135,Sheet9!$A:$F,3,FALSE )</f>
        <v>Cantt</v>
      </c>
      <c r="I135" s="9" t="str">
        <f>VLOOKUP(A135,Sheet9!$A:$F,4,FALSE)</f>
        <v>Karachi</v>
      </c>
      <c r="J135" s="9" t="str">
        <f>VLOOKUP(A135,Sheet9!$A:$F,5,FALSE)</f>
        <v>Sindh</v>
      </c>
      <c r="K135" s="9" t="str">
        <f>VLOOKUP(A135,Sheet9!$A:$F,6,FALSE)</f>
        <v>For Sale</v>
      </c>
      <c r="L135" s="9">
        <f t="shared" si="2"/>
        <v>1</v>
      </c>
    </row>
    <row r="136" spans="1:12" ht="15" thickBot="1">
      <c r="A136" s="31">
        <v>2860714</v>
      </c>
      <c r="B136" s="35">
        <v>6655</v>
      </c>
      <c r="C136" s="35" t="s">
        <v>154</v>
      </c>
      <c r="D136" s="35">
        <v>3</v>
      </c>
      <c r="E136" s="35">
        <v>3</v>
      </c>
      <c r="F136" s="36">
        <v>43630</v>
      </c>
      <c r="G136" s="9">
        <f>VLOOKUP(A136,Sheet9!$A:$F,2,FALSE)</f>
        <v>32500000</v>
      </c>
      <c r="H136" s="9" t="str">
        <f>VLOOKUP(A136,Sheet9!$A:$F,3,FALSE )</f>
        <v>Cantt</v>
      </c>
      <c r="I136" s="9" t="str">
        <f>VLOOKUP(A136,Sheet9!$A:$F,4,FALSE)</f>
        <v>Karachi</v>
      </c>
      <c r="J136" s="9" t="str">
        <f>VLOOKUP(A136,Sheet9!$A:$F,5,FALSE)</f>
        <v>Sindh</v>
      </c>
      <c r="K136" s="9" t="str">
        <f>VLOOKUP(A136,Sheet9!$A:$F,6,FALSE)</f>
        <v>For Sale</v>
      </c>
      <c r="L136" s="9">
        <f t="shared" si="2"/>
        <v>1</v>
      </c>
    </row>
    <row r="137" spans="1:12" ht="15" thickBot="1">
      <c r="A137" s="31">
        <v>2860715</v>
      </c>
      <c r="B137" s="35">
        <v>6655</v>
      </c>
      <c r="C137" s="35" t="s">
        <v>154</v>
      </c>
      <c r="D137" s="35">
        <v>4</v>
      </c>
      <c r="E137" s="35">
        <v>4</v>
      </c>
      <c r="F137" s="36">
        <v>43630</v>
      </c>
      <c r="G137" s="9">
        <f>VLOOKUP(A137,Sheet9!$A:$F,2,FALSE)</f>
        <v>40000000</v>
      </c>
      <c r="H137" s="9" t="str">
        <f>VLOOKUP(A137,Sheet9!$A:$F,3,FALSE )</f>
        <v>Cantt</v>
      </c>
      <c r="I137" s="9" t="str">
        <f>VLOOKUP(A137,Sheet9!$A:$F,4,FALSE)</f>
        <v>Karachi</v>
      </c>
      <c r="J137" s="9" t="str">
        <f>VLOOKUP(A137,Sheet9!$A:$F,5,FALSE)</f>
        <v>Sindh</v>
      </c>
      <c r="K137" s="9" t="str">
        <f>VLOOKUP(A137,Sheet9!$A:$F,6,FALSE)</f>
        <v>For Sale</v>
      </c>
      <c r="L137" s="9">
        <f t="shared" si="2"/>
        <v>1</v>
      </c>
    </row>
    <row r="138" spans="1:12" ht="29.5" thickBot="1">
      <c r="A138" s="31">
        <v>2861614</v>
      </c>
      <c r="B138" s="35">
        <v>1312</v>
      </c>
      <c r="C138" s="35" t="s">
        <v>155</v>
      </c>
      <c r="D138" s="35">
        <v>3</v>
      </c>
      <c r="E138" s="35">
        <v>3</v>
      </c>
      <c r="F138" s="36">
        <v>43591</v>
      </c>
      <c r="G138" s="9">
        <f>VLOOKUP(A138,Sheet9!$A:$F,2,FALSE)</f>
        <v>50000</v>
      </c>
      <c r="H138" s="9" t="str">
        <f>VLOOKUP(A138,Sheet9!$A:$F,3,FALSE )</f>
        <v>Chaklala Scheme</v>
      </c>
      <c r="I138" s="9" t="str">
        <f>VLOOKUP(A138,Sheet9!$A:$F,4,FALSE)</f>
        <v>Rawalpindi</v>
      </c>
      <c r="J138" s="9" t="str">
        <f>VLOOKUP(A138,Sheet9!$A:$F,5,FALSE)</f>
        <v>Punjab</v>
      </c>
      <c r="K138" s="9" t="str">
        <f>VLOOKUP(A138,Sheet9!$A:$F,6,FALSE)</f>
        <v>For Rent</v>
      </c>
      <c r="L138" s="9">
        <f t="shared" si="2"/>
        <v>2</v>
      </c>
    </row>
    <row r="139" spans="1:12" ht="15" thickBot="1">
      <c r="A139" s="31">
        <v>2873584</v>
      </c>
      <c r="B139" s="35">
        <v>3491</v>
      </c>
      <c r="C139" s="35" t="s">
        <v>153</v>
      </c>
      <c r="D139" s="35">
        <v>5</v>
      </c>
      <c r="E139" s="35">
        <v>6</v>
      </c>
      <c r="F139" s="36">
        <v>43645</v>
      </c>
      <c r="G139" s="9">
        <f>VLOOKUP(A139,Sheet9!$A:$F,2,FALSE)</f>
        <v>20000000</v>
      </c>
      <c r="H139" s="9" t="str">
        <f>VLOOKUP(A139,Sheet9!$A:$F,3,FALSE )</f>
        <v>Soan Garden</v>
      </c>
      <c r="I139" s="9" t="str">
        <f>VLOOKUP(A139,Sheet9!$A:$F,4,FALSE)</f>
        <v>Islamabad</v>
      </c>
      <c r="J139" s="9" t="str">
        <f>VLOOKUP(A139,Sheet9!$A:$F,5,FALSE)</f>
        <v>Islamabad Capital</v>
      </c>
      <c r="K139" s="9" t="str">
        <f>VLOOKUP(A139,Sheet9!$A:$F,6,FALSE)</f>
        <v>For Sale</v>
      </c>
      <c r="L139" s="9">
        <f t="shared" si="2"/>
        <v>3</v>
      </c>
    </row>
    <row r="140" spans="1:12" ht="15" thickBot="1">
      <c r="A140" s="31">
        <v>2883507</v>
      </c>
      <c r="B140" s="35">
        <v>157</v>
      </c>
      <c r="C140" s="35" t="s">
        <v>154</v>
      </c>
      <c r="D140" s="35">
        <v>1</v>
      </c>
      <c r="E140" s="35">
        <v>1</v>
      </c>
      <c r="F140" s="36">
        <v>43643</v>
      </c>
      <c r="G140" s="9">
        <f>VLOOKUP(A140,Sheet9!$A:$F,2,FALSE)</f>
        <v>19400000</v>
      </c>
      <c r="H140" s="9" t="str">
        <f>VLOOKUP(A140,Sheet9!$A:$F,3,FALSE )</f>
        <v>Blue Area</v>
      </c>
      <c r="I140" s="9" t="str">
        <f>VLOOKUP(A140,Sheet9!$A:$F,4,FALSE)</f>
        <v>Islamabad</v>
      </c>
      <c r="J140" s="9" t="str">
        <f>VLOOKUP(A140,Sheet9!$A:$F,5,FALSE)</f>
        <v>Islamabad Capital</v>
      </c>
      <c r="K140" s="9" t="str">
        <f>VLOOKUP(A140,Sheet9!$A:$F,6,FALSE)</f>
        <v>For Sale</v>
      </c>
      <c r="L140" s="9">
        <f t="shared" si="2"/>
        <v>3</v>
      </c>
    </row>
    <row r="141" spans="1:12" ht="15" thickBot="1">
      <c r="A141" s="31">
        <v>2913869</v>
      </c>
      <c r="B141" s="35">
        <v>3089</v>
      </c>
      <c r="C141" s="35" t="s">
        <v>153</v>
      </c>
      <c r="D141" s="35">
        <v>6</v>
      </c>
      <c r="E141" s="35">
        <v>6</v>
      </c>
      <c r="F141" s="36">
        <v>43439</v>
      </c>
      <c r="G141" s="9">
        <f>VLOOKUP(A141,Sheet9!$A:$F,2,FALSE)</f>
        <v>12000000</v>
      </c>
      <c r="H141" s="9" t="str">
        <f>VLOOKUP(A141,Sheet9!$A:$F,3,FALSE )</f>
        <v>Cantt</v>
      </c>
      <c r="I141" s="9" t="str">
        <f>VLOOKUP(A141,Sheet9!$A:$F,4,FALSE)</f>
        <v>Lahore</v>
      </c>
      <c r="J141" s="9" t="str">
        <f>VLOOKUP(A141,Sheet9!$A:$F,5,FALSE)</f>
        <v>Punjab</v>
      </c>
      <c r="K141" s="9" t="str">
        <f>VLOOKUP(A141,Sheet9!$A:$F,6,FALSE)</f>
        <v>For Sale</v>
      </c>
      <c r="L141" s="9">
        <f t="shared" si="2"/>
        <v>2</v>
      </c>
    </row>
    <row r="142" spans="1:12" ht="15" thickBot="1">
      <c r="A142" s="31">
        <v>2922894</v>
      </c>
      <c r="B142" s="35">
        <v>3300</v>
      </c>
      <c r="C142" s="35" t="s">
        <v>153</v>
      </c>
      <c r="D142" s="35">
        <v>8</v>
      </c>
      <c r="E142" s="35">
        <v>8</v>
      </c>
      <c r="F142" s="36">
        <v>43650</v>
      </c>
      <c r="G142" s="9">
        <f>VLOOKUP(A142,Sheet9!$A:$F,2,FALSE)</f>
        <v>1022000</v>
      </c>
      <c r="H142" s="9" t="str">
        <f>VLOOKUP(A142,Sheet9!$A:$F,3,FALSE )</f>
        <v>F-6</v>
      </c>
      <c r="I142" s="9" t="str">
        <f>VLOOKUP(A142,Sheet9!$A:$F,4,FALSE)</f>
        <v>Islamabad</v>
      </c>
      <c r="J142" s="9" t="str">
        <f>VLOOKUP(A142,Sheet9!$A:$F,5,FALSE)</f>
        <v>Islamabad Capital</v>
      </c>
      <c r="K142" s="9" t="str">
        <f>VLOOKUP(A142,Sheet9!$A:$F,6,FALSE)</f>
        <v>For Rent</v>
      </c>
      <c r="L142" s="9">
        <f t="shared" si="2"/>
        <v>3</v>
      </c>
    </row>
    <row r="143" spans="1:12" ht="15" thickBot="1">
      <c r="A143" s="31">
        <v>2956901</v>
      </c>
      <c r="B143" s="35">
        <v>1266</v>
      </c>
      <c r="C143" s="35" t="s">
        <v>153</v>
      </c>
      <c r="D143" s="35">
        <v>8</v>
      </c>
      <c r="E143" s="35">
        <v>10</v>
      </c>
      <c r="F143" s="36">
        <v>43629</v>
      </c>
      <c r="G143" s="9">
        <f>VLOOKUP(A143,Sheet9!$A:$F,2,FALSE)</f>
        <v>30000000</v>
      </c>
      <c r="H143" s="9" t="str">
        <f>VLOOKUP(A143,Sheet9!$A:$F,3,FALSE )</f>
        <v>Judicial Colony</v>
      </c>
      <c r="I143" s="9" t="str">
        <f>VLOOKUP(A143,Sheet9!$A:$F,4,FALSE)</f>
        <v>Rawalpindi</v>
      </c>
      <c r="J143" s="9" t="str">
        <f>VLOOKUP(A143,Sheet9!$A:$F,5,FALSE)</f>
        <v>Punjab</v>
      </c>
      <c r="K143" s="9" t="str">
        <f>VLOOKUP(A143,Sheet9!$A:$F,6,FALSE)</f>
        <v>For Sale</v>
      </c>
      <c r="L143" s="9">
        <f t="shared" si="2"/>
        <v>2</v>
      </c>
    </row>
    <row r="144" spans="1:12" ht="15" thickBot="1">
      <c r="A144" s="31">
        <v>3001749</v>
      </c>
      <c r="B144" s="35">
        <v>7184</v>
      </c>
      <c r="C144" s="35" t="s">
        <v>153</v>
      </c>
      <c r="D144" s="35">
        <v>3</v>
      </c>
      <c r="E144" s="35">
        <v>6</v>
      </c>
      <c r="F144" s="36">
        <v>43514</v>
      </c>
      <c r="G144" s="9">
        <f>VLOOKUP(A144,Sheet9!$A:$F,2,FALSE)</f>
        <v>43000</v>
      </c>
      <c r="H144" s="9" t="str">
        <f>VLOOKUP(A144,Sheet9!$A:$F,3,FALSE )</f>
        <v>North Karachi</v>
      </c>
      <c r="I144" s="9" t="str">
        <f>VLOOKUP(A144,Sheet9!$A:$F,4,FALSE)</f>
        <v>Karachi</v>
      </c>
      <c r="J144" s="9" t="str">
        <f>VLOOKUP(A144,Sheet9!$A:$F,5,FALSE)</f>
        <v>Sindh</v>
      </c>
      <c r="K144" s="9" t="str">
        <f>VLOOKUP(A144,Sheet9!$A:$F,6,FALSE)</f>
        <v>For Rent</v>
      </c>
      <c r="L144" s="9">
        <f t="shared" si="2"/>
        <v>1</v>
      </c>
    </row>
    <row r="145" spans="1:12" ht="15" thickBot="1">
      <c r="A145" s="31">
        <v>3004205</v>
      </c>
      <c r="B145" s="35">
        <v>1504</v>
      </c>
      <c r="C145" s="35" t="s">
        <v>153</v>
      </c>
      <c r="D145" s="35">
        <v>5</v>
      </c>
      <c r="E145" s="35">
        <v>5</v>
      </c>
      <c r="F145" s="36">
        <v>43647</v>
      </c>
      <c r="G145" s="9">
        <f>VLOOKUP(A145,Sheet9!$A:$F,2,FALSE)</f>
        <v>32000000</v>
      </c>
      <c r="H145" s="9" t="str">
        <f>VLOOKUP(A145,Sheet9!$A:$F,3,FALSE )</f>
        <v>Askari 14</v>
      </c>
      <c r="I145" s="9" t="str">
        <f>VLOOKUP(A145,Sheet9!$A:$F,4,FALSE)</f>
        <v>Rawalpindi</v>
      </c>
      <c r="J145" s="9" t="str">
        <f>VLOOKUP(A145,Sheet9!$A:$F,5,FALSE)</f>
        <v>Punjab</v>
      </c>
      <c r="K145" s="9" t="str">
        <f>VLOOKUP(A145,Sheet9!$A:$F,6,FALSE)</f>
        <v>For Sale</v>
      </c>
      <c r="L145" s="9">
        <f t="shared" si="2"/>
        <v>2</v>
      </c>
    </row>
    <row r="146" spans="1:12" ht="15" thickBot="1">
      <c r="A146" s="31">
        <v>3011860</v>
      </c>
      <c r="B146" s="35">
        <v>9582</v>
      </c>
      <c r="C146" s="35" t="s">
        <v>153</v>
      </c>
      <c r="D146" s="35">
        <v>5</v>
      </c>
      <c r="E146" s="35">
        <v>5</v>
      </c>
      <c r="F146" s="36">
        <v>43621</v>
      </c>
      <c r="G146" s="9">
        <f>VLOOKUP(A146,Sheet9!$A:$F,2,FALSE)</f>
        <v>59500000</v>
      </c>
      <c r="H146" s="9" t="str">
        <f>VLOOKUP(A146,Sheet9!$A:$F,3,FALSE )</f>
        <v>Malir</v>
      </c>
      <c r="I146" s="9" t="str">
        <f>VLOOKUP(A146,Sheet9!$A:$F,4,FALSE)</f>
        <v>Karachi</v>
      </c>
      <c r="J146" s="9" t="str">
        <f>VLOOKUP(A146,Sheet9!$A:$F,5,FALSE)</f>
        <v>Sindh</v>
      </c>
      <c r="K146" s="9" t="str">
        <f>VLOOKUP(A146,Sheet9!$A:$F,6,FALSE)</f>
        <v>For Sale</v>
      </c>
      <c r="L146" s="9">
        <f t="shared" si="2"/>
        <v>1</v>
      </c>
    </row>
    <row r="147" spans="1:12" ht="15" thickBot="1">
      <c r="A147" s="31">
        <v>3011866</v>
      </c>
      <c r="B147" s="35">
        <v>9582</v>
      </c>
      <c r="C147" s="35" t="s">
        <v>153</v>
      </c>
      <c r="D147" s="35">
        <v>5</v>
      </c>
      <c r="E147" s="35">
        <v>5</v>
      </c>
      <c r="F147" s="36">
        <v>43621</v>
      </c>
      <c r="G147" s="9">
        <f>VLOOKUP(A147,Sheet9!$A:$F,2,FALSE)</f>
        <v>71500000</v>
      </c>
      <c r="H147" s="9" t="str">
        <f>VLOOKUP(A147,Sheet9!$A:$F,3,FALSE )</f>
        <v>Malir</v>
      </c>
      <c r="I147" s="9" t="str">
        <f>VLOOKUP(A147,Sheet9!$A:$F,4,FALSE)</f>
        <v>Karachi</v>
      </c>
      <c r="J147" s="9" t="str">
        <f>VLOOKUP(A147,Sheet9!$A:$F,5,FALSE)</f>
        <v>Sindh</v>
      </c>
      <c r="K147" s="9" t="str">
        <f>VLOOKUP(A147,Sheet9!$A:$F,6,FALSE)</f>
        <v>For Sale</v>
      </c>
      <c r="L147" s="9">
        <f t="shared" si="2"/>
        <v>1</v>
      </c>
    </row>
    <row r="148" spans="1:12" ht="15" thickBot="1">
      <c r="A148" s="31">
        <v>3011868</v>
      </c>
      <c r="B148" s="35">
        <v>9582</v>
      </c>
      <c r="C148" s="35" t="s">
        <v>153</v>
      </c>
      <c r="D148" s="35">
        <v>4</v>
      </c>
      <c r="E148" s="35">
        <v>4</v>
      </c>
      <c r="F148" s="36">
        <v>43591</v>
      </c>
      <c r="G148" s="9">
        <f>VLOOKUP(A148,Sheet9!$A:$F,2,FALSE)</f>
        <v>55000000</v>
      </c>
      <c r="H148" s="9" t="str">
        <f>VLOOKUP(A148,Sheet9!$A:$F,3,FALSE )</f>
        <v>Malir</v>
      </c>
      <c r="I148" s="9" t="str">
        <f>VLOOKUP(A148,Sheet9!$A:$F,4,FALSE)</f>
        <v>Karachi</v>
      </c>
      <c r="J148" s="9" t="str">
        <f>VLOOKUP(A148,Sheet9!$A:$F,5,FALSE)</f>
        <v>Sindh</v>
      </c>
      <c r="K148" s="9" t="str">
        <f>VLOOKUP(A148,Sheet9!$A:$F,6,FALSE)</f>
        <v>For Sale</v>
      </c>
      <c r="L148" s="9">
        <f t="shared" si="2"/>
        <v>1</v>
      </c>
    </row>
    <row r="149" spans="1:12" ht="15" thickBot="1">
      <c r="A149" s="31">
        <v>3011910</v>
      </c>
      <c r="B149" s="35">
        <v>9582</v>
      </c>
      <c r="C149" s="35" t="s">
        <v>153</v>
      </c>
      <c r="D149" s="35">
        <v>6</v>
      </c>
      <c r="E149" s="35">
        <v>5</v>
      </c>
      <c r="F149" s="36">
        <v>43621</v>
      </c>
      <c r="G149" s="9">
        <f>VLOOKUP(A149,Sheet9!$A:$F,2,FALSE)</f>
        <v>59500000</v>
      </c>
      <c r="H149" s="9" t="str">
        <f>VLOOKUP(A149,Sheet9!$A:$F,3,FALSE )</f>
        <v>Malir</v>
      </c>
      <c r="I149" s="9" t="str">
        <f>VLOOKUP(A149,Sheet9!$A:$F,4,FALSE)</f>
        <v>Karachi</v>
      </c>
      <c r="J149" s="9" t="str">
        <f>VLOOKUP(A149,Sheet9!$A:$F,5,FALSE)</f>
        <v>Sindh</v>
      </c>
      <c r="K149" s="9" t="str">
        <f>VLOOKUP(A149,Sheet9!$A:$F,6,FALSE)</f>
        <v>For Sale</v>
      </c>
      <c r="L149" s="9">
        <f t="shared" si="2"/>
        <v>1</v>
      </c>
    </row>
    <row r="150" spans="1:12" ht="15" thickBot="1">
      <c r="A150" s="31">
        <v>3011916</v>
      </c>
      <c r="B150" s="35">
        <v>9582</v>
      </c>
      <c r="C150" s="35" t="s">
        <v>153</v>
      </c>
      <c r="D150" s="35">
        <v>5</v>
      </c>
      <c r="E150" s="35">
        <v>5</v>
      </c>
      <c r="F150" s="36">
        <v>43621</v>
      </c>
      <c r="G150" s="9">
        <f>VLOOKUP(A150,Sheet9!$A:$F,2,FALSE)</f>
        <v>68500000</v>
      </c>
      <c r="H150" s="9" t="str">
        <f>VLOOKUP(A150,Sheet9!$A:$F,3,FALSE )</f>
        <v>Malir</v>
      </c>
      <c r="I150" s="9" t="str">
        <f>VLOOKUP(A150,Sheet9!$A:$F,4,FALSE)</f>
        <v>Karachi</v>
      </c>
      <c r="J150" s="9" t="str">
        <f>VLOOKUP(A150,Sheet9!$A:$F,5,FALSE)</f>
        <v>Sindh</v>
      </c>
      <c r="K150" s="9" t="str">
        <f>VLOOKUP(A150,Sheet9!$A:$F,6,FALSE)</f>
        <v>For Sale</v>
      </c>
      <c r="L150" s="9">
        <f t="shared" si="2"/>
        <v>1</v>
      </c>
    </row>
    <row r="151" spans="1:12" ht="15" thickBot="1">
      <c r="A151" s="31">
        <v>3011918</v>
      </c>
      <c r="B151" s="35">
        <v>9582</v>
      </c>
      <c r="C151" s="35" t="s">
        <v>153</v>
      </c>
      <c r="D151" s="35">
        <v>5</v>
      </c>
      <c r="E151" s="35">
        <v>4</v>
      </c>
      <c r="F151" s="36">
        <v>43621</v>
      </c>
      <c r="G151" s="9">
        <f>VLOOKUP(A151,Sheet9!$A:$F,2,FALSE)</f>
        <v>58500000</v>
      </c>
      <c r="H151" s="9" t="str">
        <f>VLOOKUP(A151,Sheet9!$A:$F,3,FALSE )</f>
        <v>Malir</v>
      </c>
      <c r="I151" s="9" t="str">
        <f>VLOOKUP(A151,Sheet9!$A:$F,4,FALSE)</f>
        <v>Karachi</v>
      </c>
      <c r="J151" s="9" t="str">
        <f>VLOOKUP(A151,Sheet9!$A:$F,5,FALSE)</f>
        <v>Sindh</v>
      </c>
      <c r="K151" s="9" t="str">
        <f>VLOOKUP(A151,Sheet9!$A:$F,6,FALSE)</f>
        <v>For Sale</v>
      </c>
      <c r="L151" s="9">
        <f t="shared" si="2"/>
        <v>1</v>
      </c>
    </row>
    <row r="152" spans="1:12" ht="15" thickBot="1">
      <c r="A152" s="31">
        <v>3012199</v>
      </c>
      <c r="B152" s="35">
        <v>9582</v>
      </c>
      <c r="C152" s="35" t="s">
        <v>153</v>
      </c>
      <c r="D152" s="35">
        <v>5</v>
      </c>
      <c r="E152" s="35">
        <v>5</v>
      </c>
      <c r="F152" s="36">
        <v>43621</v>
      </c>
      <c r="G152" s="9">
        <f>VLOOKUP(A152,Sheet9!$A:$F,2,FALSE)</f>
        <v>67000000</v>
      </c>
      <c r="H152" s="9" t="str">
        <f>VLOOKUP(A152,Sheet9!$A:$F,3,FALSE )</f>
        <v>Malir</v>
      </c>
      <c r="I152" s="9" t="str">
        <f>VLOOKUP(A152,Sheet9!$A:$F,4,FALSE)</f>
        <v>Karachi</v>
      </c>
      <c r="J152" s="9" t="str">
        <f>VLOOKUP(A152,Sheet9!$A:$F,5,FALSE)</f>
        <v>Sindh</v>
      </c>
      <c r="K152" s="9" t="str">
        <f>VLOOKUP(A152,Sheet9!$A:$F,6,FALSE)</f>
        <v>For Sale</v>
      </c>
      <c r="L152" s="9">
        <f t="shared" si="2"/>
        <v>1</v>
      </c>
    </row>
    <row r="153" spans="1:12" ht="15" thickBot="1">
      <c r="A153" s="31">
        <v>3012382</v>
      </c>
      <c r="B153" s="35">
        <v>9582</v>
      </c>
      <c r="C153" s="35" t="s">
        <v>153</v>
      </c>
      <c r="D153" s="35">
        <v>0</v>
      </c>
      <c r="E153" s="35">
        <v>4</v>
      </c>
      <c r="F153" s="36">
        <v>43574</v>
      </c>
      <c r="G153" s="9">
        <f>VLOOKUP(A153,Sheet9!$A:$F,2,FALSE)</f>
        <v>85000</v>
      </c>
      <c r="H153" s="9" t="str">
        <f>VLOOKUP(A153,Sheet9!$A:$F,3,FALSE )</f>
        <v>Malir</v>
      </c>
      <c r="I153" s="9" t="str">
        <f>VLOOKUP(A153,Sheet9!$A:$F,4,FALSE)</f>
        <v>Karachi</v>
      </c>
      <c r="J153" s="9" t="str">
        <f>VLOOKUP(A153,Sheet9!$A:$F,5,FALSE)</f>
        <v>Sindh</v>
      </c>
      <c r="K153" s="9" t="str">
        <f>VLOOKUP(A153,Sheet9!$A:$F,6,FALSE)</f>
        <v>For Rent</v>
      </c>
      <c r="L153" s="9">
        <f t="shared" si="2"/>
        <v>1</v>
      </c>
    </row>
    <row r="154" spans="1:12" ht="15" thickBot="1">
      <c r="A154" s="31">
        <v>3012383</v>
      </c>
      <c r="B154" s="35">
        <v>9582</v>
      </c>
      <c r="C154" s="35" t="s">
        <v>153</v>
      </c>
      <c r="D154" s="35">
        <v>0</v>
      </c>
      <c r="E154" s="35">
        <v>5</v>
      </c>
      <c r="F154" s="36">
        <v>43574</v>
      </c>
      <c r="G154" s="9">
        <f>VLOOKUP(A154,Sheet9!$A:$F,2,FALSE)</f>
        <v>110000</v>
      </c>
      <c r="H154" s="9" t="str">
        <f>VLOOKUP(A154,Sheet9!$A:$F,3,FALSE )</f>
        <v>Malir</v>
      </c>
      <c r="I154" s="9" t="str">
        <f>VLOOKUP(A154,Sheet9!$A:$F,4,FALSE)</f>
        <v>Karachi</v>
      </c>
      <c r="J154" s="9" t="str">
        <f>VLOOKUP(A154,Sheet9!$A:$F,5,FALSE)</f>
        <v>Sindh</v>
      </c>
      <c r="K154" s="9" t="str">
        <f>VLOOKUP(A154,Sheet9!$A:$F,6,FALSE)</f>
        <v>For Rent</v>
      </c>
      <c r="L154" s="9">
        <f t="shared" si="2"/>
        <v>1</v>
      </c>
    </row>
    <row r="155" spans="1:12" ht="15" thickBot="1">
      <c r="A155" s="31">
        <v>3023562</v>
      </c>
      <c r="B155" s="35">
        <v>11088</v>
      </c>
      <c r="C155" s="35" t="s">
        <v>153</v>
      </c>
      <c r="D155" s="35">
        <v>5</v>
      </c>
      <c r="E155" s="35">
        <v>5</v>
      </c>
      <c r="F155" s="36">
        <v>43621</v>
      </c>
      <c r="G155" s="9">
        <f>VLOOKUP(A155,Sheet9!$A:$F,2,FALSE)</f>
        <v>120000000</v>
      </c>
      <c r="H155" s="9" t="str">
        <f>VLOOKUP(A155,Sheet9!$A:$F,3,FALSE )</f>
        <v>Falcon Complex Faisal</v>
      </c>
      <c r="I155" s="9" t="str">
        <f>VLOOKUP(A155,Sheet9!$A:$F,4,FALSE)</f>
        <v>Karachi</v>
      </c>
      <c r="J155" s="9" t="str">
        <f>VLOOKUP(A155,Sheet9!$A:$F,5,FALSE)</f>
        <v>Sindh</v>
      </c>
      <c r="K155" s="9" t="str">
        <f>VLOOKUP(A155,Sheet9!$A:$F,6,FALSE)</f>
        <v>For Sale</v>
      </c>
      <c r="L155" s="9">
        <f t="shared" si="2"/>
        <v>1</v>
      </c>
    </row>
    <row r="156" spans="1:12" ht="15" thickBot="1">
      <c r="A156" s="31">
        <v>3051476</v>
      </c>
      <c r="B156" s="35">
        <v>373</v>
      </c>
      <c r="C156" s="35" t="s">
        <v>153</v>
      </c>
      <c r="D156" s="35">
        <v>0</v>
      </c>
      <c r="E156" s="35">
        <v>0</v>
      </c>
      <c r="F156" s="36">
        <v>43618</v>
      </c>
      <c r="G156" s="9">
        <f>VLOOKUP(A156,Sheet9!$A:$F,2,FALSE)</f>
        <v>65000000</v>
      </c>
      <c r="H156" s="9" t="str">
        <f>VLOOKUP(A156,Sheet9!$A:$F,3,FALSE )</f>
        <v>Valencia Housing Society</v>
      </c>
      <c r="I156" s="9" t="str">
        <f>VLOOKUP(A156,Sheet9!$A:$F,4,FALSE)</f>
        <v>Lahore</v>
      </c>
      <c r="J156" s="9" t="str">
        <f>VLOOKUP(A156,Sheet9!$A:$F,5,FALSE)</f>
        <v>Punjab</v>
      </c>
      <c r="K156" s="9" t="str">
        <f>VLOOKUP(A156,Sheet9!$A:$F,6,FALSE)</f>
        <v>For Sale</v>
      </c>
      <c r="L156" s="9">
        <f t="shared" si="2"/>
        <v>2</v>
      </c>
    </row>
    <row r="157" spans="1:12" ht="15" thickBot="1">
      <c r="A157" s="31">
        <v>3075436</v>
      </c>
      <c r="B157" s="35">
        <v>3035</v>
      </c>
      <c r="C157" s="35" t="s">
        <v>153</v>
      </c>
      <c r="D157" s="35">
        <v>8</v>
      </c>
      <c r="E157" s="35">
        <v>7</v>
      </c>
      <c r="F157" s="36">
        <v>43636</v>
      </c>
      <c r="G157" s="9">
        <f>VLOOKUP(A157,Sheet9!$A:$F,2,FALSE)</f>
        <v>40000000</v>
      </c>
      <c r="H157" s="9" t="str">
        <f>VLOOKUP(A157,Sheet9!$A:$F,3,FALSE )</f>
        <v>Bahria Town Rawalpindi</v>
      </c>
      <c r="I157" s="9" t="str">
        <f>VLOOKUP(A157,Sheet9!$A:$F,4,FALSE)</f>
        <v>Rawalpindi</v>
      </c>
      <c r="J157" s="9" t="str">
        <f>VLOOKUP(A157,Sheet9!$A:$F,5,FALSE)</f>
        <v>Punjab</v>
      </c>
      <c r="K157" s="9" t="str">
        <f>VLOOKUP(A157,Sheet9!$A:$F,6,FALSE)</f>
        <v>For Sale</v>
      </c>
      <c r="L157" s="9">
        <f t="shared" si="2"/>
        <v>2</v>
      </c>
    </row>
    <row r="158" spans="1:12" ht="15" thickBot="1">
      <c r="A158" s="31">
        <v>3083340</v>
      </c>
      <c r="B158" s="35">
        <v>9582</v>
      </c>
      <c r="C158" s="35" t="s">
        <v>153</v>
      </c>
      <c r="D158" s="35">
        <v>5</v>
      </c>
      <c r="E158" s="35">
        <v>5</v>
      </c>
      <c r="F158" s="36">
        <v>43574</v>
      </c>
      <c r="G158" s="9">
        <f>VLOOKUP(A158,Sheet9!$A:$F,2,FALSE)</f>
        <v>130000</v>
      </c>
      <c r="H158" s="9" t="str">
        <f>VLOOKUP(A158,Sheet9!$A:$F,3,FALSE )</f>
        <v>Malir</v>
      </c>
      <c r="I158" s="9" t="str">
        <f>VLOOKUP(A158,Sheet9!$A:$F,4,FALSE)</f>
        <v>Karachi</v>
      </c>
      <c r="J158" s="9" t="str">
        <f>VLOOKUP(A158,Sheet9!$A:$F,5,FALSE)</f>
        <v>Sindh</v>
      </c>
      <c r="K158" s="9" t="str">
        <f>VLOOKUP(A158,Sheet9!$A:$F,6,FALSE)</f>
        <v>For Rent</v>
      </c>
      <c r="L158" s="9">
        <f t="shared" si="2"/>
        <v>1</v>
      </c>
    </row>
    <row r="159" spans="1:12" ht="15" thickBot="1">
      <c r="A159" s="31">
        <v>3083937</v>
      </c>
      <c r="B159" s="35">
        <v>9582</v>
      </c>
      <c r="C159" s="35" t="s">
        <v>153</v>
      </c>
      <c r="D159" s="35">
        <v>5</v>
      </c>
      <c r="E159" s="35">
        <v>4</v>
      </c>
      <c r="F159" s="36">
        <v>43636</v>
      </c>
      <c r="G159" s="9">
        <f>VLOOKUP(A159,Sheet9!$A:$F,2,FALSE)</f>
        <v>58500000</v>
      </c>
      <c r="H159" s="9" t="str">
        <f>VLOOKUP(A159,Sheet9!$A:$F,3,FALSE )</f>
        <v>Malir</v>
      </c>
      <c r="I159" s="9" t="str">
        <f>VLOOKUP(A159,Sheet9!$A:$F,4,FALSE)</f>
        <v>Karachi</v>
      </c>
      <c r="J159" s="9" t="str">
        <f>VLOOKUP(A159,Sheet9!$A:$F,5,FALSE)</f>
        <v>Sindh</v>
      </c>
      <c r="K159" s="9" t="str">
        <f>VLOOKUP(A159,Sheet9!$A:$F,6,FALSE)</f>
        <v>For Sale</v>
      </c>
      <c r="L159" s="9">
        <f t="shared" si="2"/>
        <v>1</v>
      </c>
    </row>
    <row r="160" spans="1:12" ht="15" thickBot="1">
      <c r="A160" s="31">
        <v>3083938</v>
      </c>
      <c r="B160" s="35">
        <v>9582</v>
      </c>
      <c r="C160" s="35" t="s">
        <v>153</v>
      </c>
      <c r="D160" s="35">
        <v>5</v>
      </c>
      <c r="E160" s="35">
        <v>4</v>
      </c>
      <c r="F160" s="36">
        <v>43636</v>
      </c>
      <c r="G160" s="9">
        <f>VLOOKUP(A160,Sheet9!$A:$F,2,FALSE)</f>
        <v>58000000</v>
      </c>
      <c r="H160" s="9" t="str">
        <f>VLOOKUP(A160,Sheet9!$A:$F,3,FALSE )</f>
        <v>Malir</v>
      </c>
      <c r="I160" s="9" t="str">
        <f>VLOOKUP(A160,Sheet9!$A:$F,4,FALSE)</f>
        <v>Karachi</v>
      </c>
      <c r="J160" s="9" t="str">
        <f>VLOOKUP(A160,Sheet9!$A:$F,5,FALSE)</f>
        <v>Sindh</v>
      </c>
      <c r="K160" s="9" t="str">
        <f>VLOOKUP(A160,Sheet9!$A:$F,6,FALSE)</f>
        <v>For Sale</v>
      </c>
      <c r="L160" s="9">
        <f t="shared" si="2"/>
        <v>1</v>
      </c>
    </row>
    <row r="161" spans="1:12" ht="15" thickBot="1">
      <c r="A161" s="31">
        <v>3084030</v>
      </c>
      <c r="B161" s="35">
        <v>11088</v>
      </c>
      <c r="C161" s="35" t="s">
        <v>153</v>
      </c>
      <c r="D161" s="35">
        <v>5</v>
      </c>
      <c r="E161" s="35">
        <v>5</v>
      </c>
      <c r="F161" s="36">
        <v>43645</v>
      </c>
      <c r="G161" s="9">
        <f>VLOOKUP(A161,Sheet9!$A:$F,2,FALSE)</f>
        <v>110000000</v>
      </c>
      <c r="H161" s="9" t="str">
        <f>VLOOKUP(A161,Sheet9!$A:$F,3,FALSE )</f>
        <v>Falcon Complex Faisal</v>
      </c>
      <c r="I161" s="9" t="str">
        <f>VLOOKUP(A161,Sheet9!$A:$F,4,FALSE)</f>
        <v>Karachi</v>
      </c>
      <c r="J161" s="9" t="str">
        <f>VLOOKUP(A161,Sheet9!$A:$F,5,FALSE)</f>
        <v>Sindh</v>
      </c>
      <c r="K161" s="9" t="str">
        <f>VLOOKUP(A161,Sheet9!$A:$F,6,FALSE)</f>
        <v>For Sale</v>
      </c>
      <c r="L161" s="9">
        <f t="shared" si="2"/>
        <v>1</v>
      </c>
    </row>
    <row r="162" spans="1:12" ht="15" thickBot="1">
      <c r="A162" s="31">
        <v>3084031</v>
      </c>
      <c r="B162" s="35">
        <v>11088</v>
      </c>
      <c r="C162" s="35" t="s">
        <v>153</v>
      </c>
      <c r="D162" s="35">
        <v>5</v>
      </c>
      <c r="E162" s="35">
        <v>5</v>
      </c>
      <c r="F162" s="36">
        <v>43645</v>
      </c>
      <c r="G162" s="9">
        <f>VLOOKUP(A162,Sheet9!$A:$F,2,FALSE)</f>
        <v>119000000</v>
      </c>
      <c r="H162" s="9" t="str">
        <f>VLOOKUP(A162,Sheet9!$A:$F,3,FALSE )</f>
        <v>Falcon Complex Faisal</v>
      </c>
      <c r="I162" s="9" t="str">
        <f>VLOOKUP(A162,Sheet9!$A:$F,4,FALSE)</f>
        <v>Karachi</v>
      </c>
      <c r="J162" s="9" t="str">
        <f>VLOOKUP(A162,Sheet9!$A:$F,5,FALSE)</f>
        <v>Sindh</v>
      </c>
      <c r="K162" s="9" t="str">
        <f>VLOOKUP(A162,Sheet9!$A:$F,6,FALSE)</f>
        <v>For Sale</v>
      </c>
      <c r="L162" s="9">
        <f t="shared" si="2"/>
        <v>1</v>
      </c>
    </row>
    <row r="163" spans="1:12" ht="15" thickBot="1">
      <c r="A163" s="31">
        <v>3084032</v>
      </c>
      <c r="B163" s="35">
        <v>11088</v>
      </c>
      <c r="C163" s="35" t="s">
        <v>153</v>
      </c>
      <c r="D163" s="35">
        <v>0</v>
      </c>
      <c r="E163" s="35">
        <v>5</v>
      </c>
      <c r="F163" s="36">
        <v>43636</v>
      </c>
      <c r="G163" s="9">
        <f>VLOOKUP(A163,Sheet9!$A:$F,2,FALSE)</f>
        <v>115000000</v>
      </c>
      <c r="H163" s="9" t="str">
        <f>VLOOKUP(A163,Sheet9!$A:$F,3,FALSE )</f>
        <v>Falcon Complex Faisal</v>
      </c>
      <c r="I163" s="9" t="str">
        <f>VLOOKUP(A163,Sheet9!$A:$F,4,FALSE)</f>
        <v>Karachi</v>
      </c>
      <c r="J163" s="9" t="str">
        <f>VLOOKUP(A163,Sheet9!$A:$F,5,FALSE)</f>
        <v>Sindh</v>
      </c>
      <c r="K163" s="9" t="str">
        <f>VLOOKUP(A163,Sheet9!$A:$F,6,FALSE)</f>
        <v>For Sale</v>
      </c>
      <c r="L163" s="9">
        <f t="shared" si="2"/>
        <v>1</v>
      </c>
    </row>
    <row r="164" spans="1:12" ht="15" thickBot="1">
      <c r="A164" s="31">
        <v>3084036</v>
      </c>
      <c r="B164" s="35">
        <v>9582</v>
      </c>
      <c r="C164" s="35" t="s">
        <v>153</v>
      </c>
      <c r="D164" s="35">
        <v>5</v>
      </c>
      <c r="E164" s="35">
        <v>4</v>
      </c>
      <c r="F164" s="36">
        <v>43636</v>
      </c>
      <c r="G164" s="9">
        <f>VLOOKUP(A164,Sheet9!$A:$F,2,FALSE)</f>
        <v>59500000</v>
      </c>
      <c r="H164" s="9" t="str">
        <f>VLOOKUP(A164,Sheet9!$A:$F,3,FALSE )</f>
        <v>Malir</v>
      </c>
      <c r="I164" s="9" t="str">
        <f>VLOOKUP(A164,Sheet9!$A:$F,4,FALSE)</f>
        <v>Karachi</v>
      </c>
      <c r="J164" s="9" t="str">
        <f>VLOOKUP(A164,Sheet9!$A:$F,5,FALSE)</f>
        <v>Sindh</v>
      </c>
      <c r="K164" s="9" t="str">
        <f>VLOOKUP(A164,Sheet9!$A:$F,6,FALSE)</f>
        <v>For Sale</v>
      </c>
      <c r="L164" s="9">
        <f t="shared" si="2"/>
        <v>1</v>
      </c>
    </row>
    <row r="165" spans="1:12" ht="15" thickBot="1">
      <c r="A165" s="31">
        <v>3089236</v>
      </c>
      <c r="B165" s="35">
        <v>10163</v>
      </c>
      <c r="C165" s="35" t="s">
        <v>153</v>
      </c>
      <c r="D165" s="35">
        <v>4</v>
      </c>
      <c r="E165" s="35">
        <v>4</v>
      </c>
      <c r="F165" s="36">
        <v>43664</v>
      </c>
      <c r="G165" s="9">
        <f>VLOOKUP(A165,Sheet9!$A:$F,2,FALSE)</f>
        <v>19000000</v>
      </c>
      <c r="H165" s="9" t="str">
        <f>VLOOKUP(A165,Sheet9!$A:$F,3,FALSE )</f>
        <v>Shahra-e-Faisal</v>
      </c>
      <c r="I165" s="9" t="str">
        <f>VLOOKUP(A165,Sheet9!$A:$F,4,FALSE)</f>
        <v>Karachi</v>
      </c>
      <c r="J165" s="9" t="str">
        <f>VLOOKUP(A165,Sheet9!$A:$F,5,FALSE)</f>
        <v>Sindh</v>
      </c>
      <c r="K165" s="9" t="str">
        <f>VLOOKUP(A165,Sheet9!$A:$F,6,FALSE)</f>
        <v>For Sale</v>
      </c>
      <c r="L165" s="9">
        <f t="shared" si="2"/>
        <v>1</v>
      </c>
    </row>
    <row r="166" spans="1:12" ht="15" thickBot="1">
      <c r="A166" s="31">
        <v>3098002</v>
      </c>
      <c r="B166" s="35">
        <v>3299</v>
      </c>
      <c r="C166" s="35" t="s">
        <v>153</v>
      </c>
      <c r="D166" s="35">
        <v>5</v>
      </c>
      <c r="E166" s="35">
        <v>5</v>
      </c>
      <c r="F166" s="36">
        <v>43470</v>
      </c>
      <c r="G166" s="9">
        <f>VLOOKUP(A166,Sheet9!$A:$F,2,FALSE)</f>
        <v>100000000</v>
      </c>
      <c r="H166" s="9" t="str">
        <f>VLOOKUP(A166,Sheet9!$A:$F,3,FALSE )</f>
        <v>F-6</v>
      </c>
      <c r="I166" s="9" t="str">
        <f>VLOOKUP(A166,Sheet9!$A:$F,4,FALSE)</f>
        <v>Islamabad</v>
      </c>
      <c r="J166" s="9" t="str">
        <f>VLOOKUP(A166,Sheet9!$A:$F,5,FALSE)</f>
        <v>Islamabad Capital</v>
      </c>
      <c r="K166" s="9" t="str">
        <f>VLOOKUP(A166,Sheet9!$A:$F,6,FALSE)</f>
        <v>For Sale</v>
      </c>
      <c r="L166" s="9">
        <f t="shared" si="2"/>
        <v>3</v>
      </c>
    </row>
    <row r="167" spans="1:12" ht="15" thickBot="1">
      <c r="A167" s="31">
        <v>3101600</v>
      </c>
      <c r="B167" s="35">
        <v>3332</v>
      </c>
      <c r="C167" s="35" t="s">
        <v>154</v>
      </c>
      <c r="D167" s="35">
        <v>2</v>
      </c>
      <c r="E167" s="35">
        <v>2</v>
      </c>
      <c r="F167" s="36">
        <v>43590</v>
      </c>
      <c r="G167" s="9">
        <f>VLOOKUP(A167,Sheet9!$A:$F,2,FALSE)</f>
        <v>8000000</v>
      </c>
      <c r="H167" s="9" t="str">
        <f>VLOOKUP(A167,Sheet9!$A:$F,3,FALSE )</f>
        <v>G-11</v>
      </c>
      <c r="I167" s="9" t="str">
        <f>VLOOKUP(A167,Sheet9!$A:$F,4,FALSE)</f>
        <v>Islamabad</v>
      </c>
      <c r="J167" s="9" t="str">
        <f>VLOOKUP(A167,Sheet9!$A:$F,5,FALSE)</f>
        <v>Islamabad Capital</v>
      </c>
      <c r="K167" s="9" t="str">
        <f>VLOOKUP(A167,Sheet9!$A:$F,6,FALSE)</f>
        <v>For Sale</v>
      </c>
      <c r="L167" s="9">
        <f t="shared" si="2"/>
        <v>3</v>
      </c>
    </row>
    <row r="168" spans="1:12" ht="15" thickBot="1">
      <c r="A168" s="31">
        <v>3111513</v>
      </c>
      <c r="B168" s="35">
        <v>6811</v>
      </c>
      <c r="C168" s="35" t="s">
        <v>154</v>
      </c>
      <c r="D168" s="35">
        <v>2</v>
      </c>
      <c r="E168" s="35">
        <v>2</v>
      </c>
      <c r="F168" s="36">
        <v>43542</v>
      </c>
      <c r="G168" s="9">
        <f>VLOOKUP(A168,Sheet9!$A:$F,2,FALSE)</f>
        <v>7550000</v>
      </c>
      <c r="H168" s="9" t="str">
        <f>VLOOKUP(A168,Sheet9!$A:$F,3,FALSE )</f>
        <v>Gizri</v>
      </c>
      <c r="I168" s="9" t="str">
        <f>VLOOKUP(A168,Sheet9!$A:$F,4,FALSE)</f>
        <v>Karachi</v>
      </c>
      <c r="J168" s="9" t="str">
        <f>VLOOKUP(A168,Sheet9!$A:$F,5,FALSE)</f>
        <v>Sindh</v>
      </c>
      <c r="K168" s="9" t="str">
        <f>VLOOKUP(A168,Sheet9!$A:$F,6,FALSE)</f>
        <v>For Sale</v>
      </c>
      <c r="L168" s="9">
        <f t="shared" si="2"/>
        <v>1</v>
      </c>
    </row>
    <row r="169" spans="1:12" ht="15" thickBot="1">
      <c r="A169" s="31">
        <v>3130278</v>
      </c>
      <c r="B169" s="35">
        <v>419</v>
      </c>
      <c r="C169" s="35" t="s">
        <v>153</v>
      </c>
      <c r="D169" s="35">
        <v>6</v>
      </c>
      <c r="E169" s="35">
        <v>6</v>
      </c>
      <c r="F169" s="36">
        <v>43513</v>
      </c>
      <c r="G169" s="9">
        <f>VLOOKUP(A169,Sheet9!$A:$F,2,FALSE)</f>
        <v>60000000</v>
      </c>
      <c r="H169" s="9" t="str">
        <f>VLOOKUP(A169,Sheet9!$A:$F,3,FALSE )</f>
        <v>Satiana Road</v>
      </c>
      <c r="I169" s="9" t="str">
        <f>VLOOKUP(A169,Sheet9!$A:$F,4,FALSE)</f>
        <v>Faisalabad</v>
      </c>
      <c r="J169" s="9" t="str">
        <f>VLOOKUP(A169,Sheet9!$A:$F,5,FALSE)</f>
        <v>Punjab</v>
      </c>
      <c r="K169" s="9" t="str">
        <f>VLOOKUP(A169,Sheet9!$A:$F,6,FALSE)</f>
        <v>For Sale</v>
      </c>
      <c r="L169" s="9">
        <f t="shared" si="2"/>
        <v>2</v>
      </c>
    </row>
    <row r="170" spans="1:12" ht="15" thickBot="1">
      <c r="A170" s="31">
        <v>3166573</v>
      </c>
      <c r="B170" s="35">
        <v>329</v>
      </c>
      <c r="C170" s="35" t="s">
        <v>154</v>
      </c>
      <c r="D170" s="35">
        <v>3</v>
      </c>
      <c r="E170" s="35">
        <v>3</v>
      </c>
      <c r="F170" s="36">
        <v>43590</v>
      </c>
      <c r="G170" s="9">
        <f>VLOOKUP(A170,Sheet9!$A:$F,2,FALSE)</f>
        <v>6300000</v>
      </c>
      <c r="H170" s="9" t="str">
        <f>VLOOKUP(A170,Sheet9!$A:$F,3,FALSE )</f>
        <v>E-11</v>
      </c>
      <c r="I170" s="9" t="str">
        <f>VLOOKUP(A170,Sheet9!$A:$F,4,FALSE)</f>
        <v>Islamabad</v>
      </c>
      <c r="J170" s="9" t="str">
        <f>VLOOKUP(A170,Sheet9!$A:$F,5,FALSE)</f>
        <v>Islamabad Capital</v>
      </c>
      <c r="K170" s="9" t="str">
        <f>VLOOKUP(A170,Sheet9!$A:$F,6,FALSE)</f>
        <v>For Sale</v>
      </c>
      <c r="L170" s="9">
        <f t="shared" si="2"/>
        <v>3</v>
      </c>
    </row>
    <row r="171" spans="1:12" ht="15" thickBot="1">
      <c r="A171" s="31">
        <v>3191268</v>
      </c>
      <c r="B171" s="35">
        <v>164</v>
      </c>
      <c r="C171" s="35" t="s">
        <v>153</v>
      </c>
      <c r="D171" s="35">
        <v>8</v>
      </c>
      <c r="E171" s="35">
        <v>7</v>
      </c>
      <c r="F171" s="36">
        <v>43636</v>
      </c>
      <c r="G171" s="9">
        <f>VLOOKUP(A171,Sheet9!$A:$F,2,FALSE)</f>
        <v>900000</v>
      </c>
      <c r="H171" s="9" t="str">
        <f>VLOOKUP(A171,Sheet9!$A:$F,3,FALSE )</f>
        <v>F-6</v>
      </c>
      <c r="I171" s="9" t="str">
        <f>VLOOKUP(A171,Sheet9!$A:$F,4,FALSE)</f>
        <v>Islamabad</v>
      </c>
      <c r="J171" s="9" t="str">
        <f>VLOOKUP(A171,Sheet9!$A:$F,5,FALSE)</f>
        <v>Islamabad Capital</v>
      </c>
      <c r="K171" s="9" t="str">
        <f>VLOOKUP(A171,Sheet9!$A:$F,6,FALSE)</f>
        <v>For Rent</v>
      </c>
      <c r="L171" s="9">
        <f t="shared" si="2"/>
        <v>3</v>
      </c>
    </row>
    <row r="172" spans="1:12" ht="15" thickBot="1">
      <c r="A172" s="31">
        <v>3193846</v>
      </c>
      <c r="B172" s="35">
        <v>1483</v>
      </c>
      <c r="C172" s="35" t="s">
        <v>153</v>
      </c>
      <c r="D172" s="35">
        <v>6</v>
      </c>
      <c r="E172" s="35">
        <v>5</v>
      </c>
      <c r="F172" s="36">
        <v>43647</v>
      </c>
      <c r="G172" s="9">
        <f>VLOOKUP(A172,Sheet9!$A:$F,2,FALSE)</f>
        <v>91500000</v>
      </c>
      <c r="H172" s="9" t="str">
        <f>VLOOKUP(A172,Sheet9!$A:$F,3,FALSE )</f>
        <v>DHA Defence</v>
      </c>
      <c r="I172" s="9" t="str">
        <f>VLOOKUP(A172,Sheet9!$A:$F,4,FALSE)</f>
        <v>Karachi</v>
      </c>
      <c r="J172" s="9" t="str">
        <f>VLOOKUP(A172,Sheet9!$A:$F,5,FALSE)</f>
        <v>Sindh</v>
      </c>
      <c r="K172" s="9" t="str">
        <f>VLOOKUP(A172,Sheet9!$A:$F,6,FALSE)</f>
        <v>For Sale</v>
      </c>
      <c r="L172" s="9">
        <f t="shared" si="2"/>
        <v>1</v>
      </c>
    </row>
    <row r="173" spans="1:12" ht="15" thickBot="1">
      <c r="A173" s="31">
        <v>3195454</v>
      </c>
      <c r="B173" s="35">
        <v>10475</v>
      </c>
      <c r="C173" s="35" t="s">
        <v>154</v>
      </c>
      <c r="D173" s="35">
        <v>3</v>
      </c>
      <c r="E173" s="35">
        <v>3</v>
      </c>
      <c r="F173" s="36">
        <v>43654</v>
      </c>
      <c r="G173" s="9">
        <f>VLOOKUP(A173,Sheet9!$A:$F,2,FALSE)</f>
        <v>30000</v>
      </c>
      <c r="H173" s="9" t="str">
        <f>VLOOKUP(A173,Sheet9!$A:$F,3,FALSE )</f>
        <v>Askari 15</v>
      </c>
      <c r="I173" s="9" t="str">
        <f>VLOOKUP(A173,Sheet9!$A:$F,4,FALSE)</f>
        <v>Rawalpindi</v>
      </c>
      <c r="J173" s="9" t="str">
        <f>VLOOKUP(A173,Sheet9!$A:$F,5,FALSE)</f>
        <v>Punjab</v>
      </c>
      <c r="K173" s="9" t="str">
        <f>VLOOKUP(A173,Sheet9!$A:$F,6,FALSE)</f>
        <v>For Rent</v>
      </c>
      <c r="L173" s="9">
        <f t="shared" si="2"/>
        <v>2</v>
      </c>
    </row>
    <row r="174" spans="1:12" ht="15" thickBot="1">
      <c r="A174" s="31">
        <v>3204109</v>
      </c>
      <c r="B174" s="35">
        <v>3078</v>
      </c>
      <c r="C174" s="35" t="s">
        <v>154</v>
      </c>
      <c r="D174" s="35">
        <v>1</v>
      </c>
      <c r="E174" s="35">
        <v>1</v>
      </c>
      <c r="F174" s="36">
        <v>43591</v>
      </c>
      <c r="G174" s="9">
        <f>VLOOKUP(A174,Sheet9!$A:$F,2,FALSE)</f>
        <v>25000</v>
      </c>
      <c r="H174" s="9" t="str">
        <f>VLOOKUP(A174,Sheet9!$A:$F,3,FALSE )</f>
        <v>Bahria Town Rawalpindi</v>
      </c>
      <c r="I174" s="9" t="str">
        <f>VLOOKUP(A174,Sheet9!$A:$F,4,FALSE)</f>
        <v>Rawalpindi</v>
      </c>
      <c r="J174" s="9" t="str">
        <f>VLOOKUP(A174,Sheet9!$A:$F,5,FALSE)</f>
        <v>Punjab</v>
      </c>
      <c r="K174" s="9" t="str">
        <f>VLOOKUP(A174,Sheet9!$A:$F,6,FALSE)</f>
        <v>For Rent</v>
      </c>
      <c r="L174" s="9">
        <f t="shared" si="2"/>
        <v>2</v>
      </c>
    </row>
    <row r="175" spans="1:12" ht="15" thickBot="1">
      <c r="A175" s="31">
        <v>3217881</v>
      </c>
      <c r="B175" s="35">
        <v>3852</v>
      </c>
      <c r="C175" s="35" t="s">
        <v>153</v>
      </c>
      <c r="D175" s="35">
        <v>0</v>
      </c>
      <c r="E175" s="35">
        <v>0</v>
      </c>
      <c r="F175" s="36">
        <v>43499</v>
      </c>
      <c r="G175" s="9">
        <f>VLOOKUP(A175,Sheet9!$A:$F,2,FALSE)</f>
        <v>1250000000</v>
      </c>
      <c r="H175" s="9" t="str">
        <f>VLOOKUP(A175,Sheet9!$A:$F,3,FALSE )</f>
        <v>Gulberg</v>
      </c>
      <c r="I175" s="9" t="str">
        <f>VLOOKUP(A175,Sheet9!$A:$F,4,FALSE)</f>
        <v>Lahore</v>
      </c>
      <c r="J175" s="9" t="str">
        <f>VLOOKUP(A175,Sheet9!$A:$F,5,FALSE)</f>
        <v>Punjab</v>
      </c>
      <c r="K175" s="9" t="str">
        <f>VLOOKUP(A175,Sheet9!$A:$F,6,FALSE)</f>
        <v>For Sale</v>
      </c>
      <c r="L175" s="9">
        <f t="shared" si="2"/>
        <v>2</v>
      </c>
    </row>
    <row r="176" spans="1:12" ht="15" thickBot="1">
      <c r="A176" s="31">
        <v>3222456</v>
      </c>
      <c r="B176" s="35">
        <v>893</v>
      </c>
      <c r="C176" s="35" t="s">
        <v>153</v>
      </c>
      <c r="D176" s="35">
        <v>8</v>
      </c>
      <c r="E176" s="35">
        <v>8</v>
      </c>
      <c r="F176" s="36">
        <v>43559</v>
      </c>
      <c r="G176" s="9">
        <f>VLOOKUP(A176,Sheet9!$A:$F,2,FALSE)</f>
        <v>42500000</v>
      </c>
      <c r="H176" s="9" t="str">
        <f>VLOOKUP(A176,Sheet9!$A:$F,3,FALSE )</f>
        <v>Gulshan-e-Ravi</v>
      </c>
      <c r="I176" s="9" t="str">
        <f>VLOOKUP(A176,Sheet9!$A:$F,4,FALSE)</f>
        <v>Lahore</v>
      </c>
      <c r="J176" s="9" t="str">
        <f>VLOOKUP(A176,Sheet9!$A:$F,5,FALSE)</f>
        <v>Punjab</v>
      </c>
      <c r="K176" s="9" t="str">
        <f>VLOOKUP(A176,Sheet9!$A:$F,6,FALSE)</f>
        <v>For Sale</v>
      </c>
      <c r="L176" s="9">
        <f t="shared" si="2"/>
        <v>2</v>
      </c>
    </row>
    <row r="177" spans="1:12" ht="15" thickBot="1">
      <c r="A177" s="31">
        <v>3242351</v>
      </c>
      <c r="B177" s="35">
        <v>4280</v>
      </c>
      <c r="C177" s="35" t="s">
        <v>153</v>
      </c>
      <c r="D177" s="35">
        <v>0</v>
      </c>
      <c r="E177" s="35">
        <v>0</v>
      </c>
      <c r="F177" s="36">
        <v>43558</v>
      </c>
      <c r="G177" s="9">
        <f>VLOOKUP(A177,Sheet9!$A:$F,2,FALSE)</f>
        <v>66500000</v>
      </c>
      <c r="H177" s="9" t="str">
        <f>VLOOKUP(A177,Sheet9!$A:$F,3,FALSE )</f>
        <v>Valencia Housing Society</v>
      </c>
      <c r="I177" s="9" t="str">
        <f>VLOOKUP(A177,Sheet9!$A:$F,4,FALSE)</f>
        <v>Lahore</v>
      </c>
      <c r="J177" s="9" t="str">
        <f>VLOOKUP(A177,Sheet9!$A:$F,5,FALSE)</f>
        <v>Punjab</v>
      </c>
      <c r="K177" s="9" t="str">
        <f>VLOOKUP(A177,Sheet9!$A:$F,6,FALSE)</f>
        <v>For Sale</v>
      </c>
      <c r="L177" s="9">
        <f t="shared" si="2"/>
        <v>2</v>
      </c>
    </row>
    <row r="178" spans="1:12" ht="15" thickBot="1">
      <c r="A178" s="31">
        <v>3277952</v>
      </c>
      <c r="B178" s="35">
        <v>8444</v>
      </c>
      <c r="C178" s="35" t="s">
        <v>153</v>
      </c>
      <c r="D178" s="35">
        <v>5</v>
      </c>
      <c r="E178" s="35">
        <v>5</v>
      </c>
      <c r="F178" s="36">
        <v>43649</v>
      </c>
      <c r="G178" s="9">
        <f>VLOOKUP(A178,Sheet9!$A:$F,2,FALSE)</f>
        <v>12000000</v>
      </c>
      <c r="H178" s="9" t="str">
        <f>VLOOKUP(A178,Sheet9!$A:$F,3,FALSE )</f>
        <v>Al-Raheem Garden</v>
      </c>
      <c r="I178" s="9" t="str">
        <f>VLOOKUP(A178,Sheet9!$A:$F,4,FALSE)</f>
        <v>Lahore</v>
      </c>
      <c r="J178" s="9" t="str">
        <f>VLOOKUP(A178,Sheet9!$A:$F,5,FALSE)</f>
        <v>Punjab</v>
      </c>
      <c r="K178" s="9" t="str">
        <f>VLOOKUP(A178,Sheet9!$A:$F,6,FALSE)</f>
        <v>For Sale</v>
      </c>
      <c r="L178" s="9">
        <f t="shared" si="2"/>
        <v>2</v>
      </c>
    </row>
    <row r="179" spans="1:12" ht="15" thickBot="1">
      <c r="A179" s="31">
        <v>3285142</v>
      </c>
      <c r="B179" s="35">
        <v>3307</v>
      </c>
      <c r="C179" s="35" t="s">
        <v>153</v>
      </c>
      <c r="D179" s="35">
        <v>10</v>
      </c>
      <c r="E179" s="35">
        <v>10</v>
      </c>
      <c r="F179" s="36">
        <v>43470</v>
      </c>
      <c r="G179" s="9">
        <f>VLOOKUP(A179,Sheet9!$A:$F,2,FALSE)</f>
        <v>220000000</v>
      </c>
      <c r="H179" s="9" t="str">
        <f>VLOOKUP(A179,Sheet9!$A:$F,3,FALSE )</f>
        <v>F-7</v>
      </c>
      <c r="I179" s="9" t="str">
        <f>VLOOKUP(A179,Sheet9!$A:$F,4,FALSE)</f>
        <v>Islamabad</v>
      </c>
      <c r="J179" s="9" t="str">
        <f>VLOOKUP(A179,Sheet9!$A:$F,5,FALSE)</f>
        <v>Islamabad Capital</v>
      </c>
      <c r="K179" s="9" t="str">
        <f>VLOOKUP(A179,Sheet9!$A:$F,6,FALSE)</f>
        <v>For Sale</v>
      </c>
      <c r="L179" s="9">
        <f t="shared" si="2"/>
        <v>3</v>
      </c>
    </row>
    <row r="180" spans="1:12" ht="15" thickBot="1">
      <c r="A180" s="31">
        <v>3285166</v>
      </c>
      <c r="B180" s="35">
        <v>6858</v>
      </c>
      <c r="C180" s="35" t="s">
        <v>159</v>
      </c>
      <c r="D180" s="35">
        <v>1</v>
      </c>
      <c r="E180" s="35">
        <v>1</v>
      </c>
      <c r="F180" s="36">
        <v>43664</v>
      </c>
      <c r="G180" s="9">
        <f>VLOOKUP(A180,Sheet9!$A:$F,2,FALSE)</f>
        <v>8000</v>
      </c>
      <c r="H180" s="9" t="str">
        <f>VLOOKUP(A180,Sheet9!$A:$F,3,FALSE )</f>
        <v>Gulshan-e-Iqbal Town</v>
      </c>
      <c r="I180" s="9" t="str">
        <f>VLOOKUP(A180,Sheet9!$A:$F,4,FALSE)</f>
        <v>Karachi</v>
      </c>
      <c r="J180" s="9" t="str">
        <f>VLOOKUP(A180,Sheet9!$A:$F,5,FALSE)</f>
        <v>Sindh</v>
      </c>
      <c r="K180" s="9" t="str">
        <f>VLOOKUP(A180,Sheet9!$A:$F,6,FALSE)</f>
        <v>For Rent</v>
      </c>
      <c r="L180" s="9">
        <f t="shared" si="2"/>
        <v>1</v>
      </c>
    </row>
    <row r="181" spans="1:12" ht="15" thickBot="1">
      <c r="A181" s="31">
        <v>3289477</v>
      </c>
      <c r="B181" s="35">
        <v>6858</v>
      </c>
      <c r="C181" s="35" t="s">
        <v>159</v>
      </c>
      <c r="D181" s="35">
        <v>0</v>
      </c>
      <c r="E181" s="35">
        <v>0</v>
      </c>
      <c r="F181" s="36">
        <v>43664</v>
      </c>
      <c r="G181" s="9">
        <f>VLOOKUP(A181,Sheet9!$A:$F,2,FALSE)</f>
        <v>8000</v>
      </c>
      <c r="H181" s="9" t="str">
        <f>VLOOKUP(A181,Sheet9!$A:$F,3,FALSE )</f>
        <v>Gulshan-e-Iqbal Town</v>
      </c>
      <c r="I181" s="9" t="str">
        <f>VLOOKUP(A181,Sheet9!$A:$F,4,FALSE)</f>
        <v>Karachi</v>
      </c>
      <c r="J181" s="9" t="str">
        <f>VLOOKUP(A181,Sheet9!$A:$F,5,FALSE)</f>
        <v>Sindh</v>
      </c>
      <c r="K181" s="9" t="str">
        <f>VLOOKUP(A181,Sheet9!$A:$F,6,FALSE)</f>
        <v>For Rent</v>
      </c>
      <c r="L181" s="9">
        <f t="shared" si="2"/>
        <v>1</v>
      </c>
    </row>
    <row r="182" spans="1:12" ht="15" thickBot="1">
      <c r="A182" s="31">
        <v>3292607</v>
      </c>
      <c r="B182" s="35">
        <v>3745</v>
      </c>
      <c r="C182" s="35" t="s">
        <v>153</v>
      </c>
      <c r="D182" s="35">
        <v>7</v>
      </c>
      <c r="E182" s="35">
        <v>6</v>
      </c>
      <c r="F182" s="36">
        <v>43559</v>
      </c>
      <c r="G182" s="9">
        <f>VLOOKUP(A182,Sheet9!$A:$F,2,FALSE)</f>
        <v>40000000</v>
      </c>
      <c r="H182" s="9" t="str">
        <f>VLOOKUP(A182,Sheet9!$A:$F,3,FALSE )</f>
        <v>EME Society</v>
      </c>
      <c r="I182" s="9" t="str">
        <f>VLOOKUP(A182,Sheet9!$A:$F,4,FALSE)</f>
        <v>Lahore</v>
      </c>
      <c r="J182" s="9" t="str">
        <f>VLOOKUP(A182,Sheet9!$A:$F,5,FALSE)</f>
        <v>Punjab</v>
      </c>
      <c r="K182" s="9" t="str">
        <f>VLOOKUP(A182,Sheet9!$A:$F,6,FALSE)</f>
        <v>For Sale</v>
      </c>
      <c r="L182" s="9">
        <f t="shared" si="2"/>
        <v>2</v>
      </c>
    </row>
    <row r="183" spans="1:12" ht="15" thickBot="1">
      <c r="A183" s="31">
        <v>3293438</v>
      </c>
      <c r="B183" s="35">
        <v>1515</v>
      </c>
      <c r="C183" s="35" t="s">
        <v>153</v>
      </c>
      <c r="D183" s="35">
        <v>6</v>
      </c>
      <c r="E183" s="35">
        <v>5</v>
      </c>
      <c r="F183" s="36">
        <v>43643</v>
      </c>
      <c r="G183" s="9">
        <f>VLOOKUP(A183,Sheet9!$A:$F,2,FALSE)</f>
        <v>25000000</v>
      </c>
      <c r="H183" s="9" t="str">
        <f>VLOOKUP(A183,Sheet9!$A:$F,3,FALSE )</f>
        <v>Askari 13</v>
      </c>
      <c r="I183" s="9" t="str">
        <f>VLOOKUP(A183,Sheet9!$A:$F,4,FALSE)</f>
        <v>Rawalpindi</v>
      </c>
      <c r="J183" s="9" t="str">
        <f>VLOOKUP(A183,Sheet9!$A:$F,5,FALSE)</f>
        <v>Punjab</v>
      </c>
      <c r="K183" s="9" t="str">
        <f>VLOOKUP(A183,Sheet9!$A:$F,6,FALSE)</f>
        <v>For Sale</v>
      </c>
      <c r="L183" s="9">
        <f t="shared" si="2"/>
        <v>2</v>
      </c>
    </row>
    <row r="184" spans="1:12" ht="15" thickBot="1">
      <c r="A184" s="31">
        <v>3298698</v>
      </c>
      <c r="B184" s="35">
        <v>1504</v>
      </c>
      <c r="C184" s="35" t="s">
        <v>153</v>
      </c>
      <c r="D184" s="35">
        <v>6</v>
      </c>
      <c r="E184" s="35">
        <v>5</v>
      </c>
      <c r="F184" s="36">
        <v>43393</v>
      </c>
      <c r="G184" s="9">
        <f>VLOOKUP(A184,Sheet9!$A:$F,2,FALSE)</f>
        <v>50000</v>
      </c>
      <c r="H184" s="9" t="str">
        <f>VLOOKUP(A184,Sheet9!$A:$F,3,FALSE )</f>
        <v>Askari 14</v>
      </c>
      <c r="I184" s="9" t="str">
        <f>VLOOKUP(A184,Sheet9!$A:$F,4,FALSE)</f>
        <v>Rawalpindi</v>
      </c>
      <c r="J184" s="9" t="str">
        <f>VLOOKUP(A184,Sheet9!$A:$F,5,FALSE)</f>
        <v>Punjab</v>
      </c>
      <c r="K184" s="9" t="str">
        <f>VLOOKUP(A184,Sheet9!$A:$F,6,FALSE)</f>
        <v>For Rent</v>
      </c>
      <c r="L184" s="9">
        <f t="shared" si="2"/>
        <v>2</v>
      </c>
    </row>
    <row r="185" spans="1:12" ht="15" thickBot="1">
      <c r="A185" s="31">
        <v>3304713</v>
      </c>
      <c r="B185" s="35">
        <v>3074</v>
      </c>
      <c r="C185" s="35" t="s">
        <v>153</v>
      </c>
      <c r="D185" s="35">
        <v>2</v>
      </c>
      <c r="E185" s="35">
        <v>2</v>
      </c>
      <c r="F185" s="36">
        <v>43662</v>
      </c>
      <c r="G185" s="9">
        <f>VLOOKUP(A185,Sheet9!$A:$F,2,FALSE)</f>
        <v>6000000</v>
      </c>
      <c r="H185" s="9" t="str">
        <f>VLOOKUP(A185,Sheet9!$A:$F,3,FALSE )</f>
        <v>Bahria Town Rawalpindi</v>
      </c>
      <c r="I185" s="9" t="str">
        <f>VLOOKUP(A185,Sheet9!$A:$F,4,FALSE)</f>
        <v>Rawalpindi</v>
      </c>
      <c r="J185" s="9" t="str">
        <f>VLOOKUP(A185,Sheet9!$A:$F,5,FALSE)</f>
        <v>Punjab</v>
      </c>
      <c r="K185" s="9" t="str">
        <f>VLOOKUP(A185,Sheet9!$A:$F,6,FALSE)</f>
        <v>For Sale</v>
      </c>
      <c r="L185" s="9">
        <f t="shared" si="2"/>
        <v>2</v>
      </c>
    </row>
    <row r="186" spans="1:12" ht="15" thickBot="1">
      <c r="A186" s="31">
        <v>3307273</v>
      </c>
      <c r="B186" s="35">
        <v>9582</v>
      </c>
      <c r="C186" s="35" t="s">
        <v>153</v>
      </c>
      <c r="D186" s="35">
        <v>5</v>
      </c>
      <c r="E186" s="35">
        <v>5</v>
      </c>
      <c r="F186" s="36">
        <v>43636</v>
      </c>
      <c r="G186" s="9">
        <f>VLOOKUP(A186,Sheet9!$A:$F,2,FALSE)</f>
        <v>105000</v>
      </c>
      <c r="H186" s="9" t="str">
        <f>VLOOKUP(A186,Sheet9!$A:$F,3,FALSE )</f>
        <v>Malir</v>
      </c>
      <c r="I186" s="9" t="str">
        <f>VLOOKUP(A186,Sheet9!$A:$F,4,FALSE)</f>
        <v>Karachi</v>
      </c>
      <c r="J186" s="9" t="str">
        <f>VLOOKUP(A186,Sheet9!$A:$F,5,FALSE)</f>
        <v>Sindh</v>
      </c>
      <c r="K186" s="9" t="str">
        <f>VLOOKUP(A186,Sheet9!$A:$F,6,FALSE)</f>
        <v>For Rent</v>
      </c>
      <c r="L186" s="9">
        <f t="shared" si="2"/>
        <v>1</v>
      </c>
    </row>
    <row r="187" spans="1:12" ht="15" thickBot="1">
      <c r="A187" s="31">
        <v>3310804</v>
      </c>
      <c r="B187" s="35">
        <v>3394</v>
      </c>
      <c r="C187" s="35" t="s">
        <v>153</v>
      </c>
      <c r="D187" s="35">
        <v>3</v>
      </c>
      <c r="E187" s="35">
        <v>2</v>
      </c>
      <c r="F187" s="36">
        <v>43410</v>
      </c>
      <c r="G187" s="9">
        <f>VLOOKUP(A187,Sheet9!$A:$F,2,FALSE)</f>
        <v>4500000</v>
      </c>
      <c r="H187" s="9" t="str">
        <f>VLOOKUP(A187,Sheet9!$A:$F,3,FALSE )</f>
        <v>Ghauri Town</v>
      </c>
      <c r="I187" s="9" t="str">
        <f>VLOOKUP(A187,Sheet9!$A:$F,4,FALSE)</f>
        <v>Islamabad</v>
      </c>
      <c r="J187" s="9" t="str">
        <f>VLOOKUP(A187,Sheet9!$A:$F,5,FALSE)</f>
        <v>Islamabad Capital</v>
      </c>
      <c r="K187" s="9" t="str">
        <f>VLOOKUP(A187,Sheet9!$A:$F,6,FALSE)</f>
        <v>For Sale</v>
      </c>
      <c r="L187" s="9">
        <f t="shared" si="2"/>
        <v>3</v>
      </c>
    </row>
    <row r="188" spans="1:12" ht="15" thickBot="1">
      <c r="A188" s="31">
        <v>3331342</v>
      </c>
      <c r="B188" s="35">
        <v>6673</v>
      </c>
      <c r="C188" s="35" t="s">
        <v>154</v>
      </c>
      <c r="D188" s="35">
        <v>3</v>
      </c>
      <c r="E188" s="35">
        <v>3</v>
      </c>
      <c r="F188" s="36">
        <v>43661</v>
      </c>
      <c r="G188" s="9">
        <f>VLOOKUP(A188,Sheet9!$A:$F,2,FALSE)</f>
        <v>65000</v>
      </c>
      <c r="H188" s="9" t="str">
        <f>VLOOKUP(A188,Sheet9!$A:$F,3,FALSE )</f>
        <v>DHA Defence</v>
      </c>
      <c r="I188" s="9" t="str">
        <f>VLOOKUP(A188,Sheet9!$A:$F,4,FALSE)</f>
        <v>Karachi</v>
      </c>
      <c r="J188" s="9" t="str">
        <f>VLOOKUP(A188,Sheet9!$A:$F,5,FALSE)</f>
        <v>Sindh</v>
      </c>
      <c r="K188" s="9" t="str">
        <f>VLOOKUP(A188,Sheet9!$A:$F,6,FALSE)</f>
        <v>For Rent</v>
      </c>
      <c r="L188" s="9">
        <f t="shared" si="2"/>
        <v>1</v>
      </c>
    </row>
    <row r="189" spans="1:12" ht="15" thickBot="1">
      <c r="A189" s="31">
        <v>3341826</v>
      </c>
      <c r="B189" s="35">
        <v>3824</v>
      </c>
      <c r="C189" s="35" t="s">
        <v>153</v>
      </c>
      <c r="D189" s="35">
        <v>7</v>
      </c>
      <c r="E189" s="35">
        <v>5</v>
      </c>
      <c r="F189" s="36">
        <v>43649</v>
      </c>
      <c r="G189" s="9">
        <f>VLOOKUP(A189,Sheet9!$A:$F,2,FALSE)</f>
        <v>180000000</v>
      </c>
      <c r="H189" s="9" t="str">
        <f>VLOOKUP(A189,Sheet9!$A:$F,3,FALSE )</f>
        <v>Gulberg</v>
      </c>
      <c r="I189" s="9" t="str">
        <f>VLOOKUP(A189,Sheet9!$A:$F,4,FALSE)</f>
        <v>Lahore</v>
      </c>
      <c r="J189" s="9" t="str">
        <f>VLOOKUP(A189,Sheet9!$A:$F,5,FALSE)</f>
        <v>Punjab</v>
      </c>
      <c r="K189" s="9" t="str">
        <f>VLOOKUP(A189,Sheet9!$A:$F,6,FALSE)</f>
        <v>For Sale</v>
      </c>
      <c r="L189" s="9">
        <f t="shared" si="2"/>
        <v>2</v>
      </c>
    </row>
    <row r="190" spans="1:12" ht="29.5" thickBot="1">
      <c r="A190" s="31">
        <v>3347676</v>
      </c>
      <c r="B190" s="35">
        <v>3299</v>
      </c>
      <c r="C190" s="35" t="s">
        <v>156</v>
      </c>
      <c r="D190" s="35">
        <v>3</v>
      </c>
      <c r="E190" s="35">
        <v>3</v>
      </c>
      <c r="F190" s="36">
        <v>43560</v>
      </c>
      <c r="G190" s="9">
        <f>VLOOKUP(A190,Sheet9!$A:$F,2,FALSE)</f>
        <v>200000</v>
      </c>
      <c r="H190" s="9" t="str">
        <f>VLOOKUP(A190,Sheet9!$A:$F,3,FALSE )</f>
        <v>F-6</v>
      </c>
      <c r="I190" s="9" t="str">
        <f>VLOOKUP(A190,Sheet9!$A:$F,4,FALSE)</f>
        <v>Islamabad</v>
      </c>
      <c r="J190" s="9" t="str">
        <f>VLOOKUP(A190,Sheet9!$A:$F,5,FALSE)</f>
        <v>Islamabad Capital</v>
      </c>
      <c r="K190" s="9" t="str">
        <f>VLOOKUP(A190,Sheet9!$A:$F,6,FALSE)</f>
        <v>For Rent</v>
      </c>
      <c r="L190" s="9">
        <f t="shared" si="2"/>
        <v>3</v>
      </c>
    </row>
    <row r="191" spans="1:12" ht="15" thickBot="1">
      <c r="A191" s="31">
        <v>3349054</v>
      </c>
      <c r="B191" s="35">
        <v>329</v>
      </c>
      <c r="C191" s="35" t="s">
        <v>153</v>
      </c>
      <c r="D191" s="35">
        <v>7</v>
      </c>
      <c r="E191" s="35">
        <v>7</v>
      </c>
      <c r="F191" s="36">
        <v>43590</v>
      </c>
      <c r="G191" s="9">
        <f>VLOOKUP(A191,Sheet9!$A:$F,2,FALSE)</f>
        <v>265000</v>
      </c>
      <c r="H191" s="9" t="str">
        <f>VLOOKUP(A191,Sheet9!$A:$F,3,FALSE )</f>
        <v>E-11</v>
      </c>
      <c r="I191" s="9" t="str">
        <f>VLOOKUP(A191,Sheet9!$A:$F,4,FALSE)</f>
        <v>Islamabad</v>
      </c>
      <c r="J191" s="9" t="str">
        <f>VLOOKUP(A191,Sheet9!$A:$F,5,FALSE)</f>
        <v>Islamabad Capital</v>
      </c>
      <c r="K191" s="9" t="str">
        <f>VLOOKUP(A191,Sheet9!$A:$F,6,FALSE)</f>
        <v>For Rent</v>
      </c>
      <c r="L191" s="9">
        <f t="shared" si="2"/>
        <v>3</v>
      </c>
    </row>
    <row r="192" spans="1:12" ht="15" thickBot="1">
      <c r="A192" s="31">
        <v>3362150</v>
      </c>
      <c r="B192" s="35">
        <v>1515</v>
      </c>
      <c r="C192" s="35" t="s">
        <v>153</v>
      </c>
      <c r="D192" s="35">
        <v>0</v>
      </c>
      <c r="E192" s="35">
        <v>4</v>
      </c>
      <c r="F192" s="36">
        <v>43643</v>
      </c>
      <c r="G192" s="9">
        <f>VLOOKUP(A192,Sheet9!$A:$F,2,FALSE)</f>
        <v>23800000</v>
      </c>
      <c r="H192" s="9" t="str">
        <f>VLOOKUP(A192,Sheet9!$A:$F,3,FALSE )</f>
        <v>Askari 13</v>
      </c>
      <c r="I192" s="9" t="str">
        <f>VLOOKUP(A192,Sheet9!$A:$F,4,FALSE)</f>
        <v>Rawalpindi</v>
      </c>
      <c r="J192" s="9" t="str">
        <f>VLOOKUP(A192,Sheet9!$A:$F,5,FALSE)</f>
        <v>Punjab</v>
      </c>
      <c r="K192" s="9" t="str">
        <f>VLOOKUP(A192,Sheet9!$A:$F,6,FALSE)</f>
        <v>For Sale</v>
      </c>
      <c r="L192" s="9">
        <f t="shared" si="2"/>
        <v>2</v>
      </c>
    </row>
    <row r="193" spans="1:12" ht="15" thickBot="1">
      <c r="A193" s="31">
        <v>3362151</v>
      </c>
      <c r="B193" s="35">
        <v>1516</v>
      </c>
      <c r="C193" s="35" t="s">
        <v>153</v>
      </c>
      <c r="D193" s="35">
        <v>5</v>
      </c>
      <c r="E193" s="35">
        <v>5</v>
      </c>
      <c r="F193" s="36">
        <v>43620</v>
      </c>
      <c r="G193" s="9">
        <f>VLOOKUP(A193,Sheet9!$A:$F,2,FALSE)</f>
        <v>28000000</v>
      </c>
      <c r="H193" s="9" t="str">
        <f>VLOOKUP(A193,Sheet9!$A:$F,3,FALSE )</f>
        <v>Askari 10</v>
      </c>
      <c r="I193" s="9" t="str">
        <f>VLOOKUP(A193,Sheet9!$A:$F,4,FALSE)</f>
        <v>Rawalpindi</v>
      </c>
      <c r="J193" s="9" t="str">
        <f>VLOOKUP(A193,Sheet9!$A:$F,5,FALSE)</f>
        <v>Punjab</v>
      </c>
      <c r="K193" s="9" t="str">
        <f>VLOOKUP(A193,Sheet9!$A:$F,6,FALSE)</f>
        <v>For Sale</v>
      </c>
      <c r="L193" s="9">
        <f t="shared" si="2"/>
        <v>2</v>
      </c>
    </row>
    <row r="194" spans="1:12" ht="15" thickBot="1">
      <c r="A194" s="31">
        <v>3362683</v>
      </c>
      <c r="B194" s="35">
        <v>1504</v>
      </c>
      <c r="C194" s="35" t="s">
        <v>153</v>
      </c>
      <c r="D194" s="35">
        <v>4</v>
      </c>
      <c r="E194" s="35">
        <v>3</v>
      </c>
      <c r="F194" s="36">
        <v>43649</v>
      </c>
      <c r="G194" s="9">
        <f>VLOOKUP(A194,Sheet9!$A:$F,2,FALSE)</f>
        <v>48000</v>
      </c>
      <c r="H194" s="9" t="str">
        <f>VLOOKUP(A194,Sheet9!$A:$F,3,FALSE )</f>
        <v>Askari 14</v>
      </c>
      <c r="I194" s="9" t="str">
        <f>VLOOKUP(A194,Sheet9!$A:$F,4,FALSE)</f>
        <v>Rawalpindi</v>
      </c>
      <c r="J194" s="9" t="str">
        <f>VLOOKUP(A194,Sheet9!$A:$F,5,FALSE)</f>
        <v>Punjab</v>
      </c>
      <c r="K194" s="9" t="str">
        <f>VLOOKUP(A194,Sheet9!$A:$F,6,FALSE)</f>
        <v>For Rent</v>
      </c>
      <c r="L194" s="9">
        <f t="shared" si="2"/>
        <v>2</v>
      </c>
    </row>
    <row r="195" spans="1:12" ht="15" thickBot="1">
      <c r="A195" s="31">
        <v>3371338</v>
      </c>
      <c r="B195" s="35">
        <v>3436</v>
      </c>
      <c r="C195" s="35" t="s">
        <v>153</v>
      </c>
      <c r="D195" s="35">
        <v>5</v>
      </c>
      <c r="E195" s="35">
        <v>6</v>
      </c>
      <c r="F195" s="36">
        <v>43650</v>
      </c>
      <c r="G195" s="9">
        <f>VLOOKUP(A195,Sheet9!$A:$F,2,FALSE)</f>
        <v>12500000</v>
      </c>
      <c r="H195" s="9" t="str">
        <f>VLOOKUP(A195,Sheet9!$A:$F,3,FALSE )</f>
        <v>I-16</v>
      </c>
      <c r="I195" s="9" t="str">
        <f>VLOOKUP(A195,Sheet9!$A:$F,4,FALSE)</f>
        <v>Islamabad</v>
      </c>
      <c r="J195" s="9" t="str">
        <f>VLOOKUP(A195,Sheet9!$A:$F,5,FALSE)</f>
        <v>Islamabad Capital</v>
      </c>
      <c r="K195" s="9" t="str">
        <f>VLOOKUP(A195,Sheet9!$A:$F,6,FALSE)</f>
        <v>For Sale</v>
      </c>
      <c r="L195" s="9">
        <f t="shared" ref="L195:L258" si="3">HLOOKUP(J195,$N$1:$P$2,2,FALSE)</f>
        <v>3</v>
      </c>
    </row>
    <row r="196" spans="1:12" ht="15" thickBot="1">
      <c r="A196" s="31">
        <v>3395976</v>
      </c>
      <c r="B196" s="35">
        <v>6020</v>
      </c>
      <c r="C196" s="35" t="s">
        <v>153</v>
      </c>
      <c r="D196" s="35">
        <v>3</v>
      </c>
      <c r="E196" s="35">
        <v>2</v>
      </c>
      <c r="F196" s="36">
        <v>43590</v>
      </c>
      <c r="G196" s="9">
        <f>VLOOKUP(A196,Sheet9!$A:$F,2,FALSE)</f>
        <v>5300000</v>
      </c>
      <c r="H196" s="9" t="str">
        <f>VLOOKUP(A196,Sheet9!$A:$F,3,FALSE )</f>
        <v>Gulshan-e-Iqbal</v>
      </c>
      <c r="I196" s="9" t="str">
        <f>VLOOKUP(A196,Sheet9!$A:$F,4,FALSE)</f>
        <v>Rawalpindi</v>
      </c>
      <c r="J196" s="9" t="str">
        <f>VLOOKUP(A196,Sheet9!$A:$F,5,FALSE)</f>
        <v>Punjab</v>
      </c>
      <c r="K196" s="9" t="str">
        <f>VLOOKUP(A196,Sheet9!$A:$F,6,FALSE)</f>
        <v>For Sale</v>
      </c>
      <c r="L196" s="9">
        <f t="shared" si="3"/>
        <v>2</v>
      </c>
    </row>
    <row r="197" spans="1:12" ht="15" thickBot="1">
      <c r="A197" s="31">
        <v>3431065</v>
      </c>
      <c r="B197" s="35">
        <v>304</v>
      </c>
      <c r="C197" s="35" t="s">
        <v>154</v>
      </c>
      <c r="D197" s="35">
        <v>1</v>
      </c>
      <c r="E197" s="35">
        <v>2</v>
      </c>
      <c r="F197" s="36">
        <v>43664</v>
      </c>
      <c r="G197" s="9">
        <f>VLOOKUP(A197,Sheet9!$A:$F,2,FALSE)</f>
        <v>4500000</v>
      </c>
      <c r="H197" s="9" t="str">
        <f>VLOOKUP(A197,Sheet9!$A:$F,3,FALSE )</f>
        <v>Saddar Town</v>
      </c>
      <c r="I197" s="9" t="str">
        <f>VLOOKUP(A197,Sheet9!$A:$F,4,FALSE)</f>
        <v>Karachi</v>
      </c>
      <c r="J197" s="9" t="str">
        <f>VLOOKUP(A197,Sheet9!$A:$F,5,FALSE)</f>
        <v>Sindh</v>
      </c>
      <c r="K197" s="9" t="str">
        <f>VLOOKUP(A197,Sheet9!$A:$F,6,FALSE)</f>
        <v>For Sale</v>
      </c>
      <c r="L197" s="9">
        <f t="shared" si="3"/>
        <v>1</v>
      </c>
    </row>
    <row r="198" spans="1:12" ht="15" thickBot="1">
      <c r="A198" s="31">
        <v>3442797</v>
      </c>
      <c r="B198" s="35">
        <v>4349</v>
      </c>
      <c r="C198" s="35" t="s">
        <v>153</v>
      </c>
      <c r="D198" s="35">
        <v>6</v>
      </c>
      <c r="E198" s="35">
        <v>5</v>
      </c>
      <c r="F198" s="36">
        <v>43529</v>
      </c>
      <c r="G198" s="9">
        <f>VLOOKUP(A198,Sheet9!$A:$F,2,FALSE)</f>
        <v>17000000</v>
      </c>
      <c r="H198" s="9" t="str">
        <f>VLOOKUP(A198,Sheet9!$A:$F,3,FALSE )</f>
        <v>Mateen Avenue</v>
      </c>
      <c r="I198" s="9" t="str">
        <f>VLOOKUP(A198,Sheet9!$A:$F,4,FALSE)</f>
        <v>Lahore</v>
      </c>
      <c r="J198" s="9" t="str">
        <f>VLOOKUP(A198,Sheet9!$A:$F,5,FALSE)</f>
        <v>Punjab</v>
      </c>
      <c r="K198" s="9" t="str">
        <f>VLOOKUP(A198,Sheet9!$A:$F,6,FALSE)</f>
        <v>For Sale</v>
      </c>
      <c r="L198" s="9">
        <f t="shared" si="3"/>
        <v>2</v>
      </c>
    </row>
    <row r="199" spans="1:12" ht="15" thickBot="1">
      <c r="A199" s="31">
        <v>3463063</v>
      </c>
      <c r="B199" s="35">
        <v>3748</v>
      </c>
      <c r="C199" s="35" t="s">
        <v>153</v>
      </c>
      <c r="D199" s="35">
        <v>0</v>
      </c>
      <c r="E199" s="35">
        <v>0</v>
      </c>
      <c r="F199" s="36">
        <v>43588</v>
      </c>
      <c r="G199" s="9">
        <f>VLOOKUP(A199,Sheet9!$A:$F,2,FALSE)</f>
        <v>47500000</v>
      </c>
      <c r="H199" s="9" t="str">
        <f>VLOOKUP(A199,Sheet9!$A:$F,3,FALSE )</f>
        <v>EME Society</v>
      </c>
      <c r="I199" s="9" t="str">
        <f>VLOOKUP(A199,Sheet9!$A:$F,4,FALSE)</f>
        <v>Lahore</v>
      </c>
      <c r="J199" s="9" t="str">
        <f>VLOOKUP(A199,Sheet9!$A:$F,5,FALSE)</f>
        <v>Punjab</v>
      </c>
      <c r="K199" s="9" t="str">
        <f>VLOOKUP(A199,Sheet9!$A:$F,6,FALSE)</f>
        <v>For Sale</v>
      </c>
      <c r="L199" s="9">
        <f t="shared" si="3"/>
        <v>2</v>
      </c>
    </row>
    <row r="200" spans="1:12" ht="15" thickBot="1">
      <c r="A200" s="31">
        <v>3472517</v>
      </c>
      <c r="B200" s="35">
        <v>9940</v>
      </c>
      <c r="C200" s="35" t="s">
        <v>153</v>
      </c>
      <c r="D200" s="35">
        <v>3</v>
      </c>
      <c r="E200" s="35">
        <v>10</v>
      </c>
      <c r="F200" s="36">
        <v>43543</v>
      </c>
      <c r="G200" s="9">
        <f>VLOOKUP(A200,Sheet9!$A:$F,2,FALSE)</f>
        <v>250000</v>
      </c>
      <c r="H200" s="9" t="str">
        <f>VLOOKUP(A200,Sheet9!$A:$F,3,FALSE )</f>
        <v>Chen One Road</v>
      </c>
      <c r="I200" s="9" t="str">
        <f>VLOOKUP(A200,Sheet9!$A:$F,4,FALSE)</f>
        <v>Faisalabad</v>
      </c>
      <c r="J200" s="9" t="str">
        <f>VLOOKUP(A200,Sheet9!$A:$F,5,FALSE)</f>
        <v>Punjab</v>
      </c>
      <c r="K200" s="9" t="str">
        <f>VLOOKUP(A200,Sheet9!$A:$F,6,FALSE)</f>
        <v>For Rent</v>
      </c>
      <c r="L200" s="9">
        <f t="shared" si="3"/>
        <v>2</v>
      </c>
    </row>
    <row r="201" spans="1:12" ht="15" thickBot="1">
      <c r="A201" s="31">
        <v>3478944</v>
      </c>
      <c r="B201" s="35">
        <v>9145</v>
      </c>
      <c r="C201" s="35" t="s">
        <v>154</v>
      </c>
      <c r="D201" s="35">
        <v>3</v>
      </c>
      <c r="E201" s="35">
        <v>4</v>
      </c>
      <c r="F201" s="36">
        <v>43621</v>
      </c>
      <c r="G201" s="9">
        <f>VLOOKUP(A201,Sheet9!$A:$F,2,FALSE)</f>
        <v>6900000</v>
      </c>
      <c r="H201" s="9" t="str">
        <f>VLOOKUP(A201,Sheet9!$A:$F,3,FALSE )</f>
        <v>Scheme 33</v>
      </c>
      <c r="I201" s="9" t="str">
        <f>VLOOKUP(A201,Sheet9!$A:$F,4,FALSE)</f>
        <v>Karachi</v>
      </c>
      <c r="J201" s="9" t="str">
        <f>VLOOKUP(A201,Sheet9!$A:$F,5,FALSE)</f>
        <v>Sindh</v>
      </c>
      <c r="K201" s="9" t="str">
        <f>VLOOKUP(A201,Sheet9!$A:$F,6,FALSE)</f>
        <v>For Sale</v>
      </c>
      <c r="L201" s="9">
        <f t="shared" si="3"/>
        <v>1</v>
      </c>
    </row>
    <row r="202" spans="1:12" ht="15" thickBot="1">
      <c r="A202" s="31">
        <v>3489605</v>
      </c>
      <c r="B202" s="35">
        <v>1504</v>
      </c>
      <c r="C202" s="35" t="s">
        <v>154</v>
      </c>
      <c r="D202" s="35">
        <v>4</v>
      </c>
      <c r="E202" s="35">
        <v>3</v>
      </c>
      <c r="F202" s="36">
        <v>43654</v>
      </c>
      <c r="G202" s="9">
        <f>VLOOKUP(A202,Sheet9!$A:$F,2,FALSE)</f>
        <v>33000</v>
      </c>
      <c r="H202" s="9" t="str">
        <f>VLOOKUP(A202,Sheet9!$A:$F,3,FALSE )</f>
        <v>Askari 14</v>
      </c>
      <c r="I202" s="9" t="str">
        <f>VLOOKUP(A202,Sheet9!$A:$F,4,FALSE)</f>
        <v>Rawalpindi</v>
      </c>
      <c r="J202" s="9" t="str">
        <f>VLOOKUP(A202,Sheet9!$A:$F,5,FALSE)</f>
        <v>Punjab</v>
      </c>
      <c r="K202" s="9" t="str">
        <f>VLOOKUP(A202,Sheet9!$A:$F,6,FALSE)</f>
        <v>For Rent</v>
      </c>
      <c r="L202" s="9">
        <f t="shared" si="3"/>
        <v>2</v>
      </c>
    </row>
    <row r="203" spans="1:12" ht="15" thickBot="1">
      <c r="A203" s="31">
        <v>3493723</v>
      </c>
      <c r="B203" s="35">
        <v>6834</v>
      </c>
      <c r="C203" s="35" t="s">
        <v>154</v>
      </c>
      <c r="D203" s="35">
        <v>2</v>
      </c>
      <c r="E203" s="35">
        <v>2</v>
      </c>
      <c r="F203" s="36">
        <v>43393</v>
      </c>
      <c r="G203" s="9">
        <f>VLOOKUP(A203,Sheet9!$A:$F,2,FALSE)</f>
        <v>4500000</v>
      </c>
      <c r="H203" s="9" t="str">
        <f>VLOOKUP(A203,Sheet9!$A:$F,3,FALSE )</f>
        <v>Gulistan-e-Jauhar</v>
      </c>
      <c r="I203" s="9" t="str">
        <f>VLOOKUP(A203,Sheet9!$A:$F,4,FALSE)</f>
        <v>Karachi</v>
      </c>
      <c r="J203" s="9" t="str">
        <f>VLOOKUP(A203,Sheet9!$A:$F,5,FALSE)</f>
        <v>Sindh</v>
      </c>
      <c r="K203" s="9" t="str">
        <f>VLOOKUP(A203,Sheet9!$A:$F,6,FALSE)</f>
        <v>For Sale</v>
      </c>
      <c r="L203" s="9">
        <f t="shared" si="3"/>
        <v>1</v>
      </c>
    </row>
    <row r="204" spans="1:12" ht="15" thickBot="1">
      <c r="A204" s="31">
        <v>3504704</v>
      </c>
      <c r="B204" s="35">
        <v>1404</v>
      </c>
      <c r="C204" s="35" t="s">
        <v>153</v>
      </c>
      <c r="D204" s="35">
        <v>6</v>
      </c>
      <c r="E204" s="35">
        <v>6</v>
      </c>
      <c r="F204" s="36">
        <v>43500</v>
      </c>
      <c r="G204" s="9">
        <f>VLOOKUP(A204,Sheet9!$A:$F,2,FALSE)</f>
        <v>19900000</v>
      </c>
      <c r="H204" s="9" t="str">
        <f>VLOOKUP(A204,Sheet9!$A:$F,3,FALSE )</f>
        <v>Shalley Valley</v>
      </c>
      <c r="I204" s="9" t="str">
        <f>VLOOKUP(A204,Sheet9!$A:$F,4,FALSE)</f>
        <v>Rawalpindi</v>
      </c>
      <c r="J204" s="9" t="str">
        <f>VLOOKUP(A204,Sheet9!$A:$F,5,FALSE)</f>
        <v>Punjab</v>
      </c>
      <c r="K204" s="9" t="str">
        <f>VLOOKUP(A204,Sheet9!$A:$F,6,FALSE)</f>
        <v>For Sale</v>
      </c>
      <c r="L204" s="9">
        <f t="shared" si="3"/>
        <v>2</v>
      </c>
    </row>
    <row r="205" spans="1:12" ht="15" thickBot="1">
      <c r="A205" s="31">
        <v>3507838</v>
      </c>
      <c r="B205" s="35">
        <v>4113</v>
      </c>
      <c r="C205" s="35" t="s">
        <v>153</v>
      </c>
      <c r="D205" s="35">
        <v>5</v>
      </c>
      <c r="E205" s="35">
        <v>5</v>
      </c>
      <c r="F205" s="36">
        <v>43627</v>
      </c>
      <c r="G205" s="9">
        <f>VLOOKUP(A205,Sheet9!$A:$F,2,FALSE)</f>
        <v>17000000</v>
      </c>
      <c r="H205" s="9" t="str">
        <f>VLOOKUP(A205,Sheet9!$A:$F,3,FALSE )</f>
        <v>Paragon City</v>
      </c>
      <c r="I205" s="9" t="str">
        <f>VLOOKUP(A205,Sheet9!$A:$F,4,FALSE)</f>
        <v>Lahore</v>
      </c>
      <c r="J205" s="9" t="str">
        <f>VLOOKUP(A205,Sheet9!$A:$F,5,FALSE)</f>
        <v>Punjab</v>
      </c>
      <c r="K205" s="9" t="str">
        <f>VLOOKUP(A205,Sheet9!$A:$F,6,FALSE)</f>
        <v>For Sale</v>
      </c>
      <c r="L205" s="9">
        <f t="shared" si="3"/>
        <v>2</v>
      </c>
    </row>
    <row r="206" spans="1:12" ht="15" thickBot="1">
      <c r="A206" s="31">
        <v>3510354</v>
      </c>
      <c r="B206" s="35">
        <v>8894</v>
      </c>
      <c r="C206" s="35" t="s">
        <v>153</v>
      </c>
      <c r="D206" s="35">
        <v>3</v>
      </c>
      <c r="E206" s="35">
        <v>2</v>
      </c>
      <c r="F206" s="36">
        <v>43483</v>
      </c>
      <c r="G206" s="9">
        <f>VLOOKUP(A206,Sheet9!$A:$F,2,FALSE)</f>
        <v>20000000</v>
      </c>
      <c r="H206" s="9" t="str">
        <f>VLOOKUP(A206,Sheet9!$A:$F,3,FALSE )</f>
        <v>Gulshan-e-Iqbal Town</v>
      </c>
      <c r="I206" s="9" t="str">
        <f>VLOOKUP(A206,Sheet9!$A:$F,4,FALSE)</f>
        <v>Karachi</v>
      </c>
      <c r="J206" s="9" t="str">
        <f>VLOOKUP(A206,Sheet9!$A:$F,5,FALSE)</f>
        <v>Sindh</v>
      </c>
      <c r="K206" s="9" t="str">
        <f>VLOOKUP(A206,Sheet9!$A:$F,6,FALSE)</f>
        <v>For Sale</v>
      </c>
      <c r="L206" s="9">
        <f t="shared" si="3"/>
        <v>1</v>
      </c>
    </row>
    <row r="207" spans="1:12" ht="29.5" thickBot="1">
      <c r="A207" s="31">
        <v>3516080</v>
      </c>
      <c r="B207" s="35">
        <v>508</v>
      </c>
      <c r="C207" s="35" t="s">
        <v>156</v>
      </c>
      <c r="D207" s="35">
        <v>3</v>
      </c>
      <c r="E207" s="35">
        <v>3</v>
      </c>
      <c r="F207" s="36">
        <v>43664</v>
      </c>
      <c r="G207" s="9">
        <f>VLOOKUP(A207,Sheet9!$A:$F,2,FALSE)</f>
        <v>150000</v>
      </c>
      <c r="H207" s="9" t="str">
        <f>VLOOKUP(A207,Sheet9!$A:$F,3,FALSE )</f>
        <v>Gulshan-e-Iqbal Town</v>
      </c>
      <c r="I207" s="9" t="str">
        <f>VLOOKUP(A207,Sheet9!$A:$F,4,FALSE)</f>
        <v>Karachi</v>
      </c>
      <c r="J207" s="9" t="str">
        <f>VLOOKUP(A207,Sheet9!$A:$F,5,FALSE)</f>
        <v>Sindh</v>
      </c>
      <c r="K207" s="9" t="str">
        <f>VLOOKUP(A207,Sheet9!$A:$F,6,FALSE)</f>
        <v>For Rent</v>
      </c>
      <c r="L207" s="9">
        <f t="shared" si="3"/>
        <v>1</v>
      </c>
    </row>
    <row r="208" spans="1:12" ht="15" thickBot="1">
      <c r="A208" s="31">
        <v>3516247</v>
      </c>
      <c r="B208" s="35">
        <v>6870</v>
      </c>
      <c r="C208" s="35" t="s">
        <v>153</v>
      </c>
      <c r="D208" s="35">
        <v>0</v>
      </c>
      <c r="E208" s="35">
        <v>0</v>
      </c>
      <c r="F208" s="36">
        <v>43534</v>
      </c>
      <c r="G208" s="9">
        <f>VLOOKUP(A208,Sheet9!$A:$F,2,FALSE)</f>
        <v>72500000</v>
      </c>
      <c r="H208" s="9" t="str">
        <f>VLOOKUP(A208,Sheet9!$A:$F,3,FALSE )</f>
        <v>Gulshan-e-Iqbal Town</v>
      </c>
      <c r="I208" s="9" t="str">
        <f>VLOOKUP(A208,Sheet9!$A:$F,4,FALSE)</f>
        <v>Karachi</v>
      </c>
      <c r="J208" s="9" t="str">
        <f>VLOOKUP(A208,Sheet9!$A:$F,5,FALSE)</f>
        <v>Sindh</v>
      </c>
      <c r="K208" s="9" t="str">
        <f>VLOOKUP(A208,Sheet9!$A:$F,6,FALSE)</f>
        <v>For Sale</v>
      </c>
      <c r="L208" s="9">
        <f t="shared" si="3"/>
        <v>1</v>
      </c>
    </row>
    <row r="209" spans="1:12" ht="15" thickBot="1">
      <c r="A209" s="31">
        <v>3530822</v>
      </c>
      <c r="B209" s="35">
        <v>1504</v>
      </c>
      <c r="C209" s="35" t="s">
        <v>153</v>
      </c>
      <c r="D209" s="35">
        <v>4</v>
      </c>
      <c r="E209" s="35">
        <v>3</v>
      </c>
      <c r="F209" s="36">
        <v>43644</v>
      </c>
      <c r="G209" s="9">
        <f>VLOOKUP(A209,Sheet9!$A:$F,2,FALSE)</f>
        <v>47000</v>
      </c>
      <c r="H209" s="9" t="str">
        <f>VLOOKUP(A209,Sheet9!$A:$F,3,FALSE )</f>
        <v>Askari 14</v>
      </c>
      <c r="I209" s="9" t="str">
        <f>VLOOKUP(A209,Sheet9!$A:$F,4,FALSE)</f>
        <v>Rawalpindi</v>
      </c>
      <c r="J209" s="9" t="str">
        <f>VLOOKUP(A209,Sheet9!$A:$F,5,FALSE)</f>
        <v>Punjab</v>
      </c>
      <c r="K209" s="9" t="str">
        <f>VLOOKUP(A209,Sheet9!$A:$F,6,FALSE)</f>
        <v>For Rent</v>
      </c>
      <c r="L209" s="9">
        <f t="shared" si="3"/>
        <v>2</v>
      </c>
    </row>
    <row r="210" spans="1:12" ht="15" thickBot="1">
      <c r="A210" s="31">
        <v>3531574</v>
      </c>
      <c r="B210" s="35">
        <v>6870</v>
      </c>
      <c r="C210" s="35" t="s">
        <v>153</v>
      </c>
      <c r="D210" s="35">
        <v>6</v>
      </c>
      <c r="E210" s="35">
        <v>6</v>
      </c>
      <c r="F210" s="36">
        <v>43534</v>
      </c>
      <c r="G210" s="9">
        <f>VLOOKUP(A210,Sheet9!$A:$F,2,FALSE)</f>
        <v>85000000</v>
      </c>
      <c r="H210" s="9" t="str">
        <f>VLOOKUP(A210,Sheet9!$A:$F,3,FALSE )</f>
        <v>Gulshan-e-Iqbal Town</v>
      </c>
      <c r="I210" s="9" t="str">
        <f>VLOOKUP(A210,Sheet9!$A:$F,4,FALSE)</f>
        <v>Karachi</v>
      </c>
      <c r="J210" s="9" t="str">
        <f>VLOOKUP(A210,Sheet9!$A:$F,5,FALSE)</f>
        <v>Sindh</v>
      </c>
      <c r="K210" s="9" t="str">
        <f>VLOOKUP(A210,Sheet9!$A:$F,6,FALSE)</f>
        <v>For Sale</v>
      </c>
      <c r="L210" s="9">
        <f t="shared" si="3"/>
        <v>1</v>
      </c>
    </row>
    <row r="211" spans="1:12" ht="15" thickBot="1">
      <c r="A211" s="31">
        <v>3534293</v>
      </c>
      <c r="B211" s="35">
        <v>1515</v>
      </c>
      <c r="C211" s="35" t="s">
        <v>153</v>
      </c>
      <c r="D211" s="35">
        <v>4</v>
      </c>
      <c r="E211" s="35">
        <v>3</v>
      </c>
      <c r="F211" s="36">
        <v>43643</v>
      </c>
      <c r="G211" s="9">
        <f>VLOOKUP(A211,Sheet9!$A:$F,2,FALSE)</f>
        <v>15000000</v>
      </c>
      <c r="H211" s="9" t="str">
        <f>VLOOKUP(A211,Sheet9!$A:$F,3,FALSE )</f>
        <v>Askari 13</v>
      </c>
      <c r="I211" s="9" t="str">
        <f>VLOOKUP(A211,Sheet9!$A:$F,4,FALSE)</f>
        <v>Rawalpindi</v>
      </c>
      <c r="J211" s="9" t="str">
        <f>VLOOKUP(A211,Sheet9!$A:$F,5,FALSE)</f>
        <v>Punjab</v>
      </c>
      <c r="K211" s="9" t="str">
        <f>VLOOKUP(A211,Sheet9!$A:$F,6,FALSE)</f>
        <v>For Sale</v>
      </c>
      <c r="L211" s="9">
        <f t="shared" si="3"/>
        <v>2</v>
      </c>
    </row>
    <row r="212" spans="1:12" ht="15" thickBot="1">
      <c r="A212" s="31">
        <v>3541183</v>
      </c>
      <c r="B212" s="35">
        <v>8425</v>
      </c>
      <c r="C212" s="35" t="s">
        <v>153</v>
      </c>
      <c r="D212" s="35">
        <v>5</v>
      </c>
      <c r="E212" s="35">
        <v>4</v>
      </c>
      <c r="F212" s="36">
        <v>43497</v>
      </c>
      <c r="G212" s="9">
        <f>VLOOKUP(A212,Sheet9!$A:$F,2,FALSE)</f>
        <v>25000000</v>
      </c>
      <c r="H212" s="9" t="str">
        <f>VLOOKUP(A212,Sheet9!$A:$F,3,FALSE )</f>
        <v>IEP Engineers Town</v>
      </c>
      <c r="I212" s="9" t="str">
        <f>VLOOKUP(A212,Sheet9!$A:$F,4,FALSE)</f>
        <v>Lahore</v>
      </c>
      <c r="J212" s="9" t="str">
        <f>VLOOKUP(A212,Sheet9!$A:$F,5,FALSE)</f>
        <v>Punjab</v>
      </c>
      <c r="K212" s="9" t="str">
        <f>VLOOKUP(A212,Sheet9!$A:$F,6,FALSE)</f>
        <v>For Sale</v>
      </c>
      <c r="L212" s="9">
        <f t="shared" si="3"/>
        <v>2</v>
      </c>
    </row>
    <row r="213" spans="1:12" ht="15" thickBot="1">
      <c r="A213" s="31">
        <v>3541894</v>
      </c>
      <c r="B213" s="35">
        <v>1504</v>
      </c>
      <c r="C213" s="35" t="s">
        <v>153</v>
      </c>
      <c r="D213" s="35">
        <v>5</v>
      </c>
      <c r="E213" s="35">
        <v>4</v>
      </c>
      <c r="F213" s="36">
        <v>43629</v>
      </c>
      <c r="G213" s="9">
        <f>VLOOKUP(A213,Sheet9!$A:$F,2,FALSE)</f>
        <v>18000000</v>
      </c>
      <c r="H213" s="9" t="str">
        <f>VLOOKUP(A213,Sheet9!$A:$F,3,FALSE )</f>
        <v>Askari 14</v>
      </c>
      <c r="I213" s="9" t="str">
        <f>VLOOKUP(A213,Sheet9!$A:$F,4,FALSE)</f>
        <v>Rawalpindi</v>
      </c>
      <c r="J213" s="9" t="str">
        <f>VLOOKUP(A213,Sheet9!$A:$F,5,FALSE)</f>
        <v>Punjab</v>
      </c>
      <c r="K213" s="9" t="str">
        <f>VLOOKUP(A213,Sheet9!$A:$F,6,FALSE)</f>
        <v>For Sale</v>
      </c>
      <c r="L213" s="9">
        <f t="shared" si="3"/>
        <v>2</v>
      </c>
    </row>
    <row r="214" spans="1:12" ht="15" thickBot="1">
      <c r="A214" s="31">
        <v>3542097</v>
      </c>
      <c r="B214" s="35">
        <v>1515</v>
      </c>
      <c r="C214" s="35" t="s">
        <v>153</v>
      </c>
      <c r="D214" s="35">
        <v>5</v>
      </c>
      <c r="E214" s="35">
        <v>4</v>
      </c>
      <c r="F214" s="36">
        <v>43643</v>
      </c>
      <c r="G214" s="9">
        <f>VLOOKUP(A214,Sheet9!$A:$F,2,FALSE)</f>
        <v>24500000</v>
      </c>
      <c r="H214" s="9" t="str">
        <f>VLOOKUP(A214,Sheet9!$A:$F,3,FALSE )</f>
        <v>Askari 13</v>
      </c>
      <c r="I214" s="9" t="str">
        <f>VLOOKUP(A214,Sheet9!$A:$F,4,FALSE)</f>
        <v>Rawalpindi</v>
      </c>
      <c r="J214" s="9" t="str">
        <f>VLOOKUP(A214,Sheet9!$A:$F,5,FALSE)</f>
        <v>Punjab</v>
      </c>
      <c r="K214" s="9" t="str">
        <f>VLOOKUP(A214,Sheet9!$A:$F,6,FALSE)</f>
        <v>For Sale</v>
      </c>
      <c r="L214" s="9">
        <f t="shared" si="3"/>
        <v>2</v>
      </c>
    </row>
    <row r="215" spans="1:12" ht="15" thickBot="1">
      <c r="A215" s="31">
        <v>3542098</v>
      </c>
      <c r="B215" s="35">
        <v>1515</v>
      </c>
      <c r="C215" s="35" t="s">
        <v>153</v>
      </c>
      <c r="D215" s="35">
        <v>4</v>
      </c>
      <c r="E215" s="35">
        <v>3</v>
      </c>
      <c r="F215" s="36">
        <v>43656</v>
      </c>
      <c r="G215" s="9">
        <f>VLOOKUP(A215,Sheet9!$A:$F,2,FALSE)</f>
        <v>55000</v>
      </c>
      <c r="H215" s="9" t="str">
        <f>VLOOKUP(A215,Sheet9!$A:$F,3,FALSE )</f>
        <v>Askari 13</v>
      </c>
      <c r="I215" s="9" t="str">
        <f>VLOOKUP(A215,Sheet9!$A:$F,4,FALSE)</f>
        <v>Rawalpindi</v>
      </c>
      <c r="J215" s="9" t="str">
        <f>VLOOKUP(A215,Sheet9!$A:$F,5,FALSE)</f>
        <v>Punjab</v>
      </c>
      <c r="K215" s="9" t="str">
        <f>VLOOKUP(A215,Sheet9!$A:$F,6,FALSE)</f>
        <v>For Rent</v>
      </c>
      <c r="L215" s="9">
        <f t="shared" si="3"/>
        <v>2</v>
      </c>
    </row>
    <row r="216" spans="1:12" ht="15" thickBot="1">
      <c r="A216" s="31">
        <v>3542099</v>
      </c>
      <c r="B216" s="35">
        <v>1515</v>
      </c>
      <c r="C216" s="35" t="s">
        <v>153</v>
      </c>
      <c r="D216" s="35">
        <v>0</v>
      </c>
      <c r="E216" s="35">
        <v>5</v>
      </c>
      <c r="F216" s="36">
        <v>43656</v>
      </c>
      <c r="G216" s="9">
        <f>VLOOKUP(A216,Sheet9!$A:$F,2,FALSE)</f>
        <v>60000</v>
      </c>
      <c r="H216" s="9" t="str">
        <f>VLOOKUP(A216,Sheet9!$A:$F,3,FALSE )</f>
        <v>Askari 13</v>
      </c>
      <c r="I216" s="9" t="str">
        <f>VLOOKUP(A216,Sheet9!$A:$F,4,FALSE)</f>
        <v>Rawalpindi</v>
      </c>
      <c r="J216" s="9" t="str">
        <f>VLOOKUP(A216,Sheet9!$A:$F,5,FALSE)</f>
        <v>Punjab</v>
      </c>
      <c r="K216" s="9" t="str">
        <f>VLOOKUP(A216,Sheet9!$A:$F,6,FALSE)</f>
        <v>For Rent</v>
      </c>
      <c r="L216" s="9">
        <f t="shared" si="3"/>
        <v>2</v>
      </c>
    </row>
    <row r="217" spans="1:12" ht="15" thickBot="1">
      <c r="A217" s="31">
        <v>3548408</v>
      </c>
      <c r="B217" s="35">
        <v>6879</v>
      </c>
      <c r="C217" s="35" t="s">
        <v>153</v>
      </c>
      <c r="D217" s="35">
        <v>4</v>
      </c>
      <c r="E217" s="35">
        <v>4</v>
      </c>
      <c r="F217" s="36">
        <v>43513</v>
      </c>
      <c r="G217" s="9">
        <f>VLOOKUP(A217,Sheet9!$A:$F,2,FALSE)</f>
        <v>60000000</v>
      </c>
      <c r="H217" s="9" t="str">
        <f>VLOOKUP(A217,Sheet9!$A:$F,3,FALSE )</f>
        <v>Gulshan-e-Iqbal Town</v>
      </c>
      <c r="I217" s="9" t="str">
        <f>VLOOKUP(A217,Sheet9!$A:$F,4,FALSE)</f>
        <v>Karachi</v>
      </c>
      <c r="J217" s="9" t="str">
        <f>VLOOKUP(A217,Sheet9!$A:$F,5,FALSE)</f>
        <v>Sindh</v>
      </c>
      <c r="K217" s="9" t="str">
        <f>VLOOKUP(A217,Sheet9!$A:$F,6,FALSE)</f>
        <v>For Sale</v>
      </c>
      <c r="L217" s="9">
        <f t="shared" si="3"/>
        <v>1</v>
      </c>
    </row>
    <row r="218" spans="1:12" ht="15" thickBot="1">
      <c r="A218" s="31">
        <v>3548450</v>
      </c>
      <c r="B218" s="35">
        <v>6869</v>
      </c>
      <c r="C218" s="35" t="s">
        <v>153</v>
      </c>
      <c r="D218" s="35">
        <v>6</v>
      </c>
      <c r="E218" s="35">
        <v>6</v>
      </c>
      <c r="F218" s="36">
        <v>43513</v>
      </c>
      <c r="G218" s="9">
        <f>VLOOKUP(A218,Sheet9!$A:$F,2,FALSE)</f>
        <v>120000000</v>
      </c>
      <c r="H218" s="9" t="str">
        <f>VLOOKUP(A218,Sheet9!$A:$F,3,FALSE )</f>
        <v>Gulshan-e-Iqbal Town</v>
      </c>
      <c r="I218" s="9" t="str">
        <f>VLOOKUP(A218,Sheet9!$A:$F,4,FALSE)</f>
        <v>Karachi</v>
      </c>
      <c r="J218" s="9" t="str">
        <f>VLOOKUP(A218,Sheet9!$A:$F,5,FALSE)</f>
        <v>Sindh</v>
      </c>
      <c r="K218" s="9" t="str">
        <f>VLOOKUP(A218,Sheet9!$A:$F,6,FALSE)</f>
        <v>For Sale</v>
      </c>
      <c r="L218" s="9">
        <f t="shared" si="3"/>
        <v>1</v>
      </c>
    </row>
    <row r="219" spans="1:12" ht="15" thickBot="1">
      <c r="A219" s="31">
        <v>3560427</v>
      </c>
      <c r="B219" s="35">
        <v>1515</v>
      </c>
      <c r="C219" s="35" t="s">
        <v>153</v>
      </c>
      <c r="D219" s="35">
        <v>4</v>
      </c>
      <c r="E219" s="35">
        <v>4</v>
      </c>
      <c r="F219" s="36">
        <v>43643</v>
      </c>
      <c r="G219" s="9">
        <f>VLOOKUP(A219,Sheet9!$A:$F,2,FALSE)</f>
        <v>27000000</v>
      </c>
      <c r="H219" s="9" t="str">
        <f>VLOOKUP(A219,Sheet9!$A:$F,3,FALSE )</f>
        <v>Askari 13</v>
      </c>
      <c r="I219" s="9" t="str">
        <f>VLOOKUP(A219,Sheet9!$A:$F,4,FALSE)</f>
        <v>Rawalpindi</v>
      </c>
      <c r="J219" s="9" t="str">
        <f>VLOOKUP(A219,Sheet9!$A:$F,5,FALSE)</f>
        <v>Punjab</v>
      </c>
      <c r="K219" s="9" t="str">
        <f>VLOOKUP(A219,Sheet9!$A:$F,6,FALSE)</f>
        <v>For Sale</v>
      </c>
      <c r="L219" s="9">
        <f t="shared" si="3"/>
        <v>2</v>
      </c>
    </row>
    <row r="220" spans="1:12" ht="15" thickBot="1">
      <c r="A220" s="31">
        <v>3560428</v>
      </c>
      <c r="B220" s="35">
        <v>1515</v>
      </c>
      <c r="C220" s="35" t="s">
        <v>153</v>
      </c>
      <c r="D220" s="35">
        <v>3</v>
      </c>
      <c r="E220" s="35">
        <v>3</v>
      </c>
      <c r="F220" s="36">
        <v>43643</v>
      </c>
      <c r="G220" s="9">
        <f>VLOOKUP(A220,Sheet9!$A:$F,2,FALSE)</f>
        <v>18000000</v>
      </c>
      <c r="H220" s="9" t="str">
        <f>VLOOKUP(A220,Sheet9!$A:$F,3,FALSE )</f>
        <v>Askari 13</v>
      </c>
      <c r="I220" s="9" t="str">
        <f>VLOOKUP(A220,Sheet9!$A:$F,4,FALSE)</f>
        <v>Rawalpindi</v>
      </c>
      <c r="J220" s="9" t="str">
        <f>VLOOKUP(A220,Sheet9!$A:$F,5,FALSE)</f>
        <v>Punjab</v>
      </c>
      <c r="K220" s="9" t="str">
        <f>VLOOKUP(A220,Sheet9!$A:$F,6,FALSE)</f>
        <v>For Sale</v>
      </c>
      <c r="L220" s="9">
        <f t="shared" si="3"/>
        <v>2</v>
      </c>
    </row>
    <row r="221" spans="1:12" ht="15" thickBot="1">
      <c r="A221" s="31">
        <v>3563685</v>
      </c>
      <c r="B221" s="35">
        <v>1515</v>
      </c>
      <c r="C221" s="35" t="s">
        <v>153</v>
      </c>
      <c r="D221" s="35">
        <v>4</v>
      </c>
      <c r="E221" s="35">
        <v>3</v>
      </c>
      <c r="F221" s="36">
        <v>43661</v>
      </c>
      <c r="G221" s="9">
        <f>VLOOKUP(A221,Sheet9!$A:$F,2,FALSE)</f>
        <v>55000</v>
      </c>
      <c r="H221" s="9" t="str">
        <f>VLOOKUP(A221,Sheet9!$A:$F,3,FALSE )</f>
        <v>Askari 13</v>
      </c>
      <c r="I221" s="9" t="str">
        <f>VLOOKUP(A221,Sheet9!$A:$F,4,FALSE)</f>
        <v>Rawalpindi</v>
      </c>
      <c r="J221" s="9" t="str">
        <f>VLOOKUP(A221,Sheet9!$A:$F,5,FALSE)</f>
        <v>Punjab</v>
      </c>
      <c r="K221" s="9" t="str">
        <f>VLOOKUP(A221,Sheet9!$A:$F,6,FALSE)</f>
        <v>For Rent</v>
      </c>
      <c r="L221" s="9">
        <f t="shared" si="3"/>
        <v>2</v>
      </c>
    </row>
    <row r="222" spans="1:12" ht="29.5" thickBot="1">
      <c r="A222" s="31">
        <v>3577153</v>
      </c>
      <c r="B222" s="35">
        <v>3377</v>
      </c>
      <c r="C222" s="35" t="s">
        <v>156</v>
      </c>
      <c r="D222" s="35">
        <v>2</v>
      </c>
      <c r="E222" s="35">
        <v>2</v>
      </c>
      <c r="F222" s="36">
        <v>43590</v>
      </c>
      <c r="G222" s="9">
        <f>VLOOKUP(A222,Sheet9!$A:$F,2,FALSE)</f>
        <v>60000</v>
      </c>
      <c r="H222" s="9" t="str">
        <f>VLOOKUP(A222,Sheet9!$A:$F,3,FALSE )</f>
        <v>G-8</v>
      </c>
      <c r="I222" s="9" t="str">
        <f>VLOOKUP(A222,Sheet9!$A:$F,4,FALSE)</f>
        <v>Islamabad</v>
      </c>
      <c r="J222" s="9" t="str">
        <f>VLOOKUP(A222,Sheet9!$A:$F,5,FALSE)</f>
        <v>Islamabad Capital</v>
      </c>
      <c r="K222" s="9" t="str">
        <f>VLOOKUP(A222,Sheet9!$A:$F,6,FALSE)</f>
        <v>For Rent</v>
      </c>
      <c r="L222" s="9">
        <f t="shared" si="3"/>
        <v>3</v>
      </c>
    </row>
    <row r="223" spans="1:12" ht="15" thickBot="1">
      <c r="A223" s="31">
        <v>3594284</v>
      </c>
      <c r="B223" s="35">
        <v>1485</v>
      </c>
      <c r="C223" s="35" t="s">
        <v>154</v>
      </c>
      <c r="D223" s="35">
        <v>4</v>
      </c>
      <c r="E223" s="35">
        <v>3</v>
      </c>
      <c r="F223" s="36">
        <v>43646</v>
      </c>
      <c r="G223" s="9">
        <f>VLOOKUP(A223,Sheet9!$A:$F,2,FALSE)</f>
        <v>45000000</v>
      </c>
      <c r="H223" s="9" t="str">
        <f>VLOOKUP(A223,Sheet9!$A:$F,3,FALSE )</f>
        <v>DHA Defence</v>
      </c>
      <c r="I223" s="9" t="str">
        <f>VLOOKUP(A223,Sheet9!$A:$F,4,FALSE)</f>
        <v>Karachi</v>
      </c>
      <c r="J223" s="9" t="str">
        <f>VLOOKUP(A223,Sheet9!$A:$F,5,FALSE)</f>
        <v>Sindh</v>
      </c>
      <c r="K223" s="9" t="str">
        <f>VLOOKUP(A223,Sheet9!$A:$F,6,FALSE)</f>
        <v>For Sale</v>
      </c>
      <c r="L223" s="9">
        <f t="shared" si="3"/>
        <v>1</v>
      </c>
    </row>
    <row r="224" spans="1:12" ht="15" thickBot="1">
      <c r="A224" s="31">
        <v>3594294</v>
      </c>
      <c r="B224" s="35">
        <v>1485</v>
      </c>
      <c r="C224" s="35" t="s">
        <v>154</v>
      </c>
      <c r="D224" s="35">
        <v>3</v>
      </c>
      <c r="E224" s="35">
        <v>2</v>
      </c>
      <c r="F224" s="36">
        <v>43646</v>
      </c>
      <c r="G224" s="9">
        <f>VLOOKUP(A224,Sheet9!$A:$F,2,FALSE)</f>
        <v>35000000</v>
      </c>
      <c r="H224" s="9" t="str">
        <f>VLOOKUP(A224,Sheet9!$A:$F,3,FALSE )</f>
        <v>DHA Defence</v>
      </c>
      <c r="I224" s="9" t="str">
        <f>VLOOKUP(A224,Sheet9!$A:$F,4,FALSE)</f>
        <v>Karachi</v>
      </c>
      <c r="J224" s="9" t="str">
        <f>VLOOKUP(A224,Sheet9!$A:$F,5,FALSE)</f>
        <v>Sindh</v>
      </c>
      <c r="K224" s="9" t="str">
        <f>VLOOKUP(A224,Sheet9!$A:$F,6,FALSE)</f>
        <v>For Sale</v>
      </c>
      <c r="L224" s="9">
        <f t="shared" si="3"/>
        <v>1</v>
      </c>
    </row>
    <row r="225" spans="1:12" ht="15" thickBot="1">
      <c r="A225" s="31">
        <v>3594297</v>
      </c>
      <c r="B225" s="35">
        <v>8503</v>
      </c>
      <c r="C225" s="35" t="s">
        <v>154</v>
      </c>
      <c r="D225" s="35">
        <v>1</v>
      </c>
      <c r="E225" s="35">
        <v>1</v>
      </c>
      <c r="F225" s="36">
        <v>43646</v>
      </c>
      <c r="G225" s="9">
        <f>VLOOKUP(A225,Sheet9!$A:$F,2,FALSE)</f>
        <v>25000000</v>
      </c>
      <c r="H225" s="9" t="str">
        <f>VLOOKUP(A225,Sheet9!$A:$F,3,FALSE )</f>
        <v>DHA Defence</v>
      </c>
      <c r="I225" s="9" t="str">
        <f>VLOOKUP(A225,Sheet9!$A:$F,4,FALSE)</f>
        <v>Karachi</v>
      </c>
      <c r="J225" s="9" t="str">
        <f>VLOOKUP(A225,Sheet9!$A:$F,5,FALSE)</f>
        <v>Sindh</v>
      </c>
      <c r="K225" s="9" t="str">
        <f>VLOOKUP(A225,Sheet9!$A:$F,6,FALSE)</f>
        <v>For Sale</v>
      </c>
      <c r="L225" s="9">
        <f t="shared" si="3"/>
        <v>1</v>
      </c>
    </row>
    <row r="226" spans="1:12" ht="15" thickBot="1">
      <c r="A226" s="31">
        <v>3622600</v>
      </c>
      <c r="B226" s="35">
        <v>1270</v>
      </c>
      <c r="C226" s="35" t="s">
        <v>154</v>
      </c>
      <c r="D226" s="35">
        <v>4</v>
      </c>
      <c r="E226" s="35">
        <v>3</v>
      </c>
      <c r="F226" s="36">
        <v>43644</v>
      </c>
      <c r="G226" s="9">
        <f>VLOOKUP(A226,Sheet9!$A:$F,2,FALSE)</f>
        <v>35000</v>
      </c>
      <c r="H226" s="9" t="str">
        <f>VLOOKUP(A226,Sheet9!$A:$F,3,FALSE )</f>
        <v>Askari 7</v>
      </c>
      <c r="I226" s="9" t="str">
        <f>VLOOKUP(A226,Sheet9!$A:$F,4,FALSE)</f>
        <v>Rawalpindi</v>
      </c>
      <c r="J226" s="9" t="str">
        <f>VLOOKUP(A226,Sheet9!$A:$F,5,FALSE)</f>
        <v>Punjab</v>
      </c>
      <c r="K226" s="9" t="str">
        <f>VLOOKUP(A226,Sheet9!$A:$F,6,FALSE)</f>
        <v>For Rent</v>
      </c>
      <c r="L226" s="9">
        <f t="shared" si="3"/>
        <v>2</v>
      </c>
    </row>
    <row r="227" spans="1:12" ht="15" thickBot="1">
      <c r="A227" s="31">
        <v>3626467</v>
      </c>
      <c r="B227" s="35">
        <v>343</v>
      </c>
      <c r="C227" s="35" t="s">
        <v>153</v>
      </c>
      <c r="D227" s="35">
        <v>4</v>
      </c>
      <c r="E227" s="35">
        <v>4</v>
      </c>
      <c r="F227" s="36">
        <v>43628</v>
      </c>
      <c r="G227" s="9">
        <f>VLOOKUP(A227,Sheet9!$A:$F,2,FALSE)</f>
        <v>230000000</v>
      </c>
      <c r="H227" s="9" t="str">
        <f>VLOOKUP(A227,Sheet9!$A:$F,3,FALSE )</f>
        <v>E-7</v>
      </c>
      <c r="I227" s="9" t="str">
        <f>VLOOKUP(A227,Sheet9!$A:$F,4,FALSE)</f>
        <v>Islamabad</v>
      </c>
      <c r="J227" s="9" t="str">
        <f>VLOOKUP(A227,Sheet9!$A:$F,5,FALSE)</f>
        <v>Islamabad Capital</v>
      </c>
      <c r="K227" s="9" t="str">
        <f>VLOOKUP(A227,Sheet9!$A:$F,6,FALSE)</f>
        <v>For Sale</v>
      </c>
      <c r="L227" s="9">
        <f t="shared" si="3"/>
        <v>3</v>
      </c>
    </row>
    <row r="228" spans="1:12" ht="15" thickBot="1">
      <c r="A228" s="31">
        <v>3631009</v>
      </c>
      <c r="B228" s="35">
        <v>1504</v>
      </c>
      <c r="C228" s="35" t="s">
        <v>153</v>
      </c>
      <c r="D228" s="35">
        <v>6</v>
      </c>
      <c r="E228" s="35">
        <v>5</v>
      </c>
      <c r="F228" s="36">
        <v>43649</v>
      </c>
      <c r="G228" s="9">
        <f>VLOOKUP(A228,Sheet9!$A:$F,2,FALSE)</f>
        <v>58000</v>
      </c>
      <c r="H228" s="9" t="str">
        <f>VLOOKUP(A228,Sheet9!$A:$F,3,FALSE )</f>
        <v>Askari 14</v>
      </c>
      <c r="I228" s="9" t="str">
        <f>VLOOKUP(A228,Sheet9!$A:$F,4,FALSE)</f>
        <v>Rawalpindi</v>
      </c>
      <c r="J228" s="9" t="str">
        <f>VLOOKUP(A228,Sheet9!$A:$F,5,FALSE)</f>
        <v>Punjab</v>
      </c>
      <c r="K228" s="9" t="str">
        <f>VLOOKUP(A228,Sheet9!$A:$F,6,FALSE)</f>
        <v>For Rent</v>
      </c>
      <c r="L228" s="9">
        <f t="shared" si="3"/>
        <v>2</v>
      </c>
    </row>
    <row r="229" spans="1:12" ht="15" thickBot="1">
      <c r="A229" s="31">
        <v>3631010</v>
      </c>
      <c r="B229" s="35">
        <v>1504</v>
      </c>
      <c r="C229" s="35" t="s">
        <v>153</v>
      </c>
      <c r="D229" s="35">
        <v>5</v>
      </c>
      <c r="E229" s="35">
        <v>4</v>
      </c>
      <c r="F229" s="36">
        <v>43649</v>
      </c>
      <c r="G229" s="9">
        <f>VLOOKUP(A229,Sheet9!$A:$F,2,FALSE)</f>
        <v>55000</v>
      </c>
      <c r="H229" s="9" t="str">
        <f>VLOOKUP(A229,Sheet9!$A:$F,3,FALSE )</f>
        <v>Askari 14</v>
      </c>
      <c r="I229" s="9" t="str">
        <f>VLOOKUP(A229,Sheet9!$A:$F,4,FALSE)</f>
        <v>Rawalpindi</v>
      </c>
      <c r="J229" s="9" t="str">
        <f>VLOOKUP(A229,Sheet9!$A:$F,5,FALSE)</f>
        <v>Punjab</v>
      </c>
      <c r="K229" s="9" t="str">
        <f>VLOOKUP(A229,Sheet9!$A:$F,6,FALSE)</f>
        <v>For Rent</v>
      </c>
      <c r="L229" s="9">
        <f t="shared" si="3"/>
        <v>2</v>
      </c>
    </row>
    <row r="230" spans="1:12" ht="15" thickBot="1">
      <c r="A230" s="31">
        <v>3631014</v>
      </c>
      <c r="B230" s="35">
        <v>1515</v>
      </c>
      <c r="C230" s="35" t="s">
        <v>153</v>
      </c>
      <c r="D230" s="35">
        <v>0</v>
      </c>
      <c r="E230" s="35">
        <v>4</v>
      </c>
      <c r="F230" s="36">
        <v>43644</v>
      </c>
      <c r="G230" s="9">
        <f>VLOOKUP(A230,Sheet9!$A:$F,2,FALSE)</f>
        <v>65000</v>
      </c>
      <c r="H230" s="9" t="str">
        <f>VLOOKUP(A230,Sheet9!$A:$F,3,FALSE )</f>
        <v>Askari 13</v>
      </c>
      <c r="I230" s="9" t="str">
        <f>VLOOKUP(A230,Sheet9!$A:$F,4,FALSE)</f>
        <v>Rawalpindi</v>
      </c>
      <c r="J230" s="9" t="str">
        <f>VLOOKUP(A230,Sheet9!$A:$F,5,FALSE)</f>
        <v>Punjab</v>
      </c>
      <c r="K230" s="9" t="str">
        <f>VLOOKUP(A230,Sheet9!$A:$F,6,FALSE)</f>
        <v>For Rent</v>
      </c>
      <c r="L230" s="9">
        <f t="shared" si="3"/>
        <v>2</v>
      </c>
    </row>
    <row r="231" spans="1:12" ht="15" thickBot="1">
      <c r="A231" s="31">
        <v>3631228</v>
      </c>
      <c r="B231" s="35">
        <v>1270</v>
      </c>
      <c r="C231" s="35" t="s">
        <v>154</v>
      </c>
      <c r="D231" s="35">
        <v>4</v>
      </c>
      <c r="E231" s="35">
        <v>3</v>
      </c>
      <c r="F231" s="36">
        <v>43644</v>
      </c>
      <c r="G231" s="9">
        <f>VLOOKUP(A231,Sheet9!$A:$F,2,FALSE)</f>
        <v>10500000</v>
      </c>
      <c r="H231" s="9" t="str">
        <f>VLOOKUP(A231,Sheet9!$A:$F,3,FALSE )</f>
        <v>Askari 7</v>
      </c>
      <c r="I231" s="9" t="str">
        <f>VLOOKUP(A231,Sheet9!$A:$F,4,FALSE)</f>
        <v>Rawalpindi</v>
      </c>
      <c r="J231" s="9" t="str">
        <f>VLOOKUP(A231,Sheet9!$A:$F,5,FALSE)</f>
        <v>Punjab</v>
      </c>
      <c r="K231" s="9" t="str">
        <f>VLOOKUP(A231,Sheet9!$A:$F,6,FALSE)</f>
        <v>For Sale</v>
      </c>
      <c r="L231" s="9">
        <f t="shared" si="3"/>
        <v>2</v>
      </c>
    </row>
    <row r="232" spans="1:12" ht="15" thickBot="1">
      <c r="A232" s="31">
        <v>3648990</v>
      </c>
      <c r="B232" s="35">
        <v>1516</v>
      </c>
      <c r="C232" s="35" t="s">
        <v>153</v>
      </c>
      <c r="D232" s="35">
        <v>4</v>
      </c>
      <c r="E232" s="35">
        <v>5</v>
      </c>
      <c r="F232" s="36">
        <v>43620</v>
      </c>
      <c r="G232" s="9">
        <f>VLOOKUP(A232,Sheet9!$A:$F,2,FALSE)</f>
        <v>25000000</v>
      </c>
      <c r="H232" s="9" t="str">
        <f>VLOOKUP(A232,Sheet9!$A:$F,3,FALSE )</f>
        <v>Askari 10</v>
      </c>
      <c r="I232" s="9" t="str">
        <f>VLOOKUP(A232,Sheet9!$A:$F,4,FALSE)</f>
        <v>Rawalpindi</v>
      </c>
      <c r="J232" s="9" t="str">
        <f>VLOOKUP(A232,Sheet9!$A:$F,5,FALSE)</f>
        <v>Punjab</v>
      </c>
      <c r="K232" s="9" t="str">
        <f>VLOOKUP(A232,Sheet9!$A:$F,6,FALSE)</f>
        <v>For Sale</v>
      </c>
      <c r="L232" s="9">
        <f t="shared" si="3"/>
        <v>2</v>
      </c>
    </row>
    <row r="233" spans="1:12" ht="15" thickBot="1">
      <c r="A233" s="31">
        <v>3669806</v>
      </c>
      <c r="B233" s="35">
        <v>8503</v>
      </c>
      <c r="C233" s="35" t="s">
        <v>154</v>
      </c>
      <c r="D233" s="35">
        <v>1</v>
      </c>
      <c r="E233" s="35">
        <v>1</v>
      </c>
      <c r="F233" s="36">
        <v>43636</v>
      </c>
      <c r="G233" s="9">
        <f>VLOOKUP(A233,Sheet9!$A:$F,2,FALSE)</f>
        <v>30500000</v>
      </c>
      <c r="H233" s="9" t="str">
        <f>VLOOKUP(A233,Sheet9!$A:$F,3,FALSE )</f>
        <v>DHA Defence</v>
      </c>
      <c r="I233" s="9" t="str">
        <f>VLOOKUP(A233,Sheet9!$A:$F,4,FALSE)</f>
        <v>Karachi</v>
      </c>
      <c r="J233" s="9" t="str">
        <f>VLOOKUP(A233,Sheet9!$A:$F,5,FALSE)</f>
        <v>Sindh</v>
      </c>
      <c r="K233" s="9" t="str">
        <f>VLOOKUP(A233,Sheet9!$A:$F,6,FALSE)</f>
        <v>For Sale</v>
      </c>
      <c r="L233" s="9">
        <f t="shared" si="3"/>
        <v>1</v>
      </c>
    </row>
    <row r="234" spans="1:12" ht="15" thickBot="1">
      <c r="A234" s="31">
        <v>3672356</v>
      </c>
      <c r="B234" s="35">
        <v>508</v>
      </c>
      <c r="C234" s="35" t="s">
        <v>153</v>
      </c>
      <c r="D234" s="35">
        <v>9</v>
      </c>
      <c r="E234" s="35">
        <v>9</v>
      </c>
      <c r="F234" s="36">
        <v>43513</v>
      </c>
      <c r="G234" s="9">
        <f>VLOOKUP(A234,Sheet9!$A:$F,2,FALSE)</f>
        <v>100000000</v>
      </c>
      <c r="H234" s="9" t="str">
        <f>VLOOKUP(A234,Sheet9!$A:$F,3,FALSE )</f>
        <v>Gulshan-e-Iqbal Town</v>
      </c>
      <c r="I234" s="9" t="str">
        <f>VLOOKUP(A234,Sheet9!$A:$F,4,FALSE)</f>
        <v>Karachi</v>
      </c>
      <c r="J234" s="9" t="str">
        <f>VLOOKUP(A234,Sheet9!$A:$F,5,FALSE)</f>
        <v>Sindh</v>
      </c>
      <c r="K234" s="9" t="str">
        <f>VLOOKUP(A234,Sheet9!$A:$F,6,FALSE)</f>
        <v>For Sale</v>
      </c>
      <c r="L234" s="9">
        <f t="shared" si="3"/>
        <v>1</v>
      </c>
    </row>
    <row r="235" spans="1:12" ht="29.5" thickBot="1">
      <c r="A235" s="31">
        <v>3685638</v>
      </c>
      <c r="B235" s="35">
        <v>1270</v>
      </c>
      <c r="C235" s="35" t="s">
        <v>156</v>
      </c>
      <c r="D235" s="35">
        <v>3</v>
      </c>
      <c r="E235" s="35">
        <v>3</v>
      </c>
      <c r="F235" s="36">
        <v>43591</v>
      </c>
      <c r="G235" s="9">
        <f>VLOOKUP(A235,Sheet9!$A:$F,2,FALSE)</f>
        <v>48000</v>
      </c>
      <c r="H235" s="9" t="str">
        <f>VLOOKUP(A235,Sheet9!$A:$F,3,FALSE )</f>
        <v>Askari 7</v>
      </c>
      <c r="I235" s="9" t="str">
        <f>VLOOKUP(A235,Sheet9!$A:$F,4,FALSE)</f>
        <v>Rawalpindi</v>
      </c>
      <c r="J235" s="9" t="str">
        <f>VLOOKUP(A235,Sheet9!$A:$F,5,FALSE)</f>
        <v>Punjab</v>
      </c>
      <c r="K235" s="9" t="str">
        <f>VLOOKUP(A235,Sheet9!$A:$F,6,FALSE)</f>
        <v>For Rent</v>
      </c>
      <c r="L235" s="9">
        <f t="shared" si="3"/>
        <v>2</v>
      </c>
    </row>
    <row r="236" spans="1:12" ht="29.5" thickBot="1">
      <c r="A236" s="31">
        <v>3699808</v>
      </c>
      <c r="B236" s="35">
        <v>3036</v>
      </c>
      <c r="C236" s="35" t="s">
        <v>156</v>
      </c>
      <c r="D236" s="35">
        <v>4</v>
      </c>
      <c r="E236" s="35">
        <v>3</v>
      </c>
      <c r="F236" s="36">
        <v>43654</v>
      </c>
      <c r="G236" s="9">
        <f>VLOOKUP(A236,Sheet9!$A:$F,2,FALSE)</f>
        <v>29500</v>
      </c>
      <c r="H236" s="9" t="str">
        <f>VLOOKUP(A236,Sheet9!$A:$F,3,FALSE )</f>
        <v>Bahria Town Rawalpindi</v>
      </c>
      <c r="I236" s="9" t="str">
        <f>VLOOKUP(A236,Sheet9!$A:$F,4,FALSE)</f>
        <v>Rawalpindi</v>
      </c>
      <c r="J236" s="9" t="str">
        <f>VLOOKUP(A236,Sheet9!$A:$F,5,FALSE)</f>
        <v>Punjab</v>
      </c>
      <c r="K236" s="9" t="str">
        <f>VLOOKUP(A236,Sheet9!$A:$F,6,FALSE)</f>
        <v>For Rent</v>
      </c>
      <c r="L236" s="9">
        <f t="shared" si="3"/>
        <v>2</v>
      </c>
    </row>
    <row r="237" spans="1:12" ht="15" thickBot="1">
      <c r="A237" s="31">
        <v>3719655</v>
      </c>
      <c r="B237" s="35">
        <v>8370</v>
      </c>
      <c r="C237" s="35" t="s">
        <v>153</v>
      </c>
      <c r="D237" s="35">
        <v>4</v>
      </c>
      <c r="E237" s="35">
        <v>5</v>
      </c>
      <c r="F237" s="36">
        <v>43650</v>
      </c>
      <c r="G237" s="9">
        <f>VLOOKUP(A237,Sheet9!$A:$F,2,FALSE)</f>
        <v>38800000</v>
      </c>
      <c r="H237" s="9" t="str">
        <f>VLOOKUP(A237,Sheet9!$A:$F,3,FALSE )</f>
        <v>Emaar Canyon Views</v>
      </c>
      <c r="I237" s="9" t="str">
        <f>VLOOKUP(A237,Sheet9!$A:$F,4,FALSE)</f>
        <v>Islamabad</v>
      </c>
      <c r="J237" s="9" t="str">
        <f>VLOOKUP(A237,Sheet9!$A:$F,5,FALSE)</f>
        <v>Islamabad Capital</v>
      </c>
      <c r="K237" s="9" t="str">
        <f>VLOOKUP(A237,Sheet9!$A:$F,6,FALSE)</f>
        <v>For Sale</v>
      </c>
      <c r="L237" s="9">
        <f t="shared" si="3"/>
        <v>3</v>
      </c>
    </row>
    <row r="238" spans="1:12" ht="15" thickBot="1">
      <c r="A238" s="31">
        <v>3728542</v>
      </c>
      <c r="B238" s="35">
        <v>737</v>
      </c>
      <c r="C238" s="35" t="s">
        <v>154</v>
      </c>
      <c r="D238" s="35">
        <v>0</v>
      </c>
      <c r="E238" s="35">
        <v>0</v>
      </c>
      <c r="F238" s="36">
        <v>43500</v>
      </c>
      <c r="G238" s="9">
        <f>VLOOKUP(A238,Sheet9!$A:$F,2,FALSE)</f>
        <v>2500000</v>
      </c>
      <c r="H238" s="9" t="str">
        <f>VLOOKUP(A238,Sheet9!$A:$F,3,FALSE )</f>
        <v>D-17</v>
      </c>
      <c r="I238" s="9" t="str">
        <f>VLOOKUP(A238,Sheet9!$A:$F,4,FALSE)</f>
        <v>Islamabad</v>
      </c>
      <c r="J238" s="9" t="str">
        <f>VLOOKUP(A238,Sheet9!$A:$F,5,FALSE)</f>
        <v>Islamabad Capital</v>
      </c>
      <c r="K238" s="9" t="str">
        <f>VLOOKUP(A238,Sheet9!$A:$F,6,FALSE)</f>
        <v>For Sale</v>
      </c>
      <c r="L238" s="9">
        <f t="shared" si="3"/>
        <v>3</v>
      </c>
    </row>
    <row r="239" spans="1:12" ht="15" thickBot="1">
      <c r="A239" s="31">
        <v>3831973</v>
      </c>
      <c r="B239" s="35">
        <v>1515</v>
      </c>
      <c r="C239" s="35" t="s">
        <v>153</v>
      </c>
      <c r="D239" s="35">
        <v>4</v>
      </c>
      <c r="E239" s="35">
        <v>3</v>
      </c>
      <c r="F239" s="36">
        <v>43656</v>
      </c>
      <c r="G239" s="9">
        <f>VLOOKUP(A239,Sheet9!$A:$F,2,FALSE)</f>
        <v>60000</v>
      </c>
      <c r="H239" s="9" t="str">
        <f>VLOOKUP(A239,Sheet9!$A:$F,3,FALSE )</f>
        <v>Askari 13</v>
      </c>
      <c r="I239" s="9" t="str">
        <f>VLOOKUP(A239,Sheet9!$A:$F,4,FALSE)</f>
        <v>Rawalpindi</v>
      </c>
      <c r="J239" s="9" t="str">
        <f>VLOOKUP(A239,Sheet9!$A:$F,5,FALSE)</f>
        <v>Punjab</v>
      </c>
      <c r="K239" s="9" t="str">
        <f>VLOOKUP(A239,Sheet9!$A:$F,6,FALSE)</f>
        <v>For Rent</v>
      </c>
      <c r="L239" s="9">
        <f t="shared" si="3"/>
        <v>2</v>
      </c>
    </row>
    <row r="240" spans="1:12" ht="15" thickBot="1">
      <c r="A240" s="31">
        <v>3832121</v>
      </c>
      <c r="B240" s="35">
        <v>1516</v>
      </c>
      <c r="C240" s="35" t="s">
        <v>153</v>
      </c>
      <c r="D240" s="35">
        <v>4</v>
      </c>
      <c r="E240" s="35">
        <v>5</v>
      </c>
      <c r="F240" s="36">
        <v>43591</v>
      </c>
      <c r="G240" s="9">
        <f>VLOOKUP(A240,Sheet9!$A:$F,2,FALSE)</f>
        <v>70000</v>
      </c>
      <c r="H240" s="9" t="str">
        <f>VLOOKUP(A240,Sheet9!$A:$F,3,FALSE )</f>
        <v>Askari 10</v>
      </c>
      <c r="I240" s="9" t="str">
        <f>VLOOKUP(A240,Sheet9!$A:$F,4,FALSE)</f>
        <v>Rawalpindi</v>
      </c>
      <c r="J240" s="9" t="str">
        <f>VLOOKUP(A240,Sheet9!$A:$F,5,FALSE)</f>
        <v>Punjab</v>
      </c>
      <c r="K240" s="9" t="str">
        <f>VLOOKUP(A240,Sheet9!$A:$F,6,FALSE)</f>
        <v>For Rent</v>
      </c>
      <c r="L240" s="9">
        <f t="shared" si="3"/>
        <v>2</v>
      </c>
    </row>
    <row r="241" spans="1:12" ht="15" thickBot="1">
      <c r="A241" s="31">
        <v>3832181</v>
      </c>
      <c r="B241" s="35">
        <v>1515</v>
      </c>
      <c r="C241" s="35" t="s">
        <v>153</v>
      </c>
      <c r="D241" s="35">
        <v>5</v>
      </c>
      <c r="E241" s="35">
        <v>5</v>
      </c>
      <c r="F241" s="36">
        <v>43645</v>
      </c>
      <c r="G241" s="9">
        <f>VLOOKUP(A241,Sheet9!$A:$F,2,FALSE)</f>
        <v>65000</v>
      </c>
      <c r="H241" s="9" t="str">
        <f>VLOOKUP(A241,Sheet9!$A:$F,3,FALSE )</f>
        <v>Askari 13</v>
      </c>
      <c r="I241" s="9" t="str">
        <f>VLOOKUP(A241,Sheet9!$A:$F,4,FALSE)</f>
        <v>Rawalpindi</v>
      </c>
      <c r="J241" s="9" t="str">
        <f>VLOOKUP(A241,Sheet9!$A:$F,5,FALSE)</f>
        <v>Punjab</v>
      </c>
      <c r="K241" s="9" t="str">
        <f>VLOOKUP(A241,Sheet9!$A:$F,6,FALSE)</f>
        <v>For Rent</v>
      </c>
      <c r="L241" s="9">
        <f t="shared" si="3"/>
        <v>2</v>
      </c>
    </row>
    <row r="242" spans="1:12" ht="15" thickBot="1">
      <c r="A242" s="31">
        <v>3892035</v>
      </c>
      <c r="B242" s="35">
        <v>1784</v>
      </c>
      <c r="C242" s="35" t="s">
        <v>153</v>
      </c>
      <c r="D242" s="35">
        <v>6</v>
      </c>
      <c r="E242" s="35">
        <v>5</v>
      </c>
      <c r="F242" s="36">
        <v>43588</v>
      </c>
      <c r="G242" s="9">
        <f>VLOOKUP(A242,Sheet9!$A:$F,2,FALSE)</f>
        <v>17600000</v>
      </c>
      <c r="H242" s="9" t="str">
        <f>VLOOKUP(A242,Sheet9!$A:$F,3,FALSE )</f>
        <v>Bahria Town</v>
      </c>
      <c r="I242" s="9" t="str">
        <f>VLOOKUP(A242,Sheet9!$A:$F,4,FALSE)</f>
        <v>Lahore</v>
      </c>
      <c r="J242" s="9" t="str">
        <f>VLOOKUP(A242,Sheet9!$A:$F,5,FALSE)</f>
        <v>Punjab</v>
      </c>
      <c r="K242" s="9" t="str">
        <f>VLOOKUP(A242,Sheet9!$A:$F,6,FALSE)</f>
        <v>For Sale</v>
      </c>
      <c r="L242" s="9">
        <f t="shared" si="3"/>
        <v>2</v>
      </c>
    </row>
    <row r="243" spans="1:12" ht="15" thickBot="1">
      <c r="A243" s="31">
        <v>3892037</v>
      </c>
      <c r="B243" s="35">
        <v>1784</v>
      </c>
      <c r="C243" s="35" t="s">
        <v>153</v>
      </c>
      <c r="D243" s="35">
        <v>6</v>
      </c>
      <c r="E243" s="35">
        <v>5</v>
      </c>
      <c r="F243" s="36">
        <v>43588</v>
      </c>
      <c r="G243" s="9">
        <f>VLOOKUP(A243,Sheet9!$A:$F,2,FALSE)</f>
        <v>17500000</v>
      </c>
      <c r="H243" s="9" t="str">
        <f>VLOOKUP(A243,Sheet9!$A:$F,3,FALSE )</f>
        <v>Bahria Town</v>
      </c>
      <c r="I243" s="9" t="str">
        <f>VLOOKUP(A243,Sheet9!$A:$F,4,FALSE)</f>
        <v>Lahore</v>
      </c>
      <c r="J243" s="9" t="str">
        <f>VLOOKUP(A243,Sheet9!$A:$F,5,FALSE)</f>
        <v>Punjab</v>
      </c>
      <c r="K243" s="9" t="str">
        <f>VLOOKUP(A243,Sheet9!$A:$F,6,FALSE)</f>
        <v>For Sale</v>
      </c>
      <c r="L243" s="9">
        <f t="shared" si="3"/>
        <v>2</v>
      </c>
    </row>
    <row r="244" spans="1:12" ht="15" thickBot="1">
      <c r="A244" s="31">
        <v>3931877</v>
      </c>
      <c r="B244" s="35">
        <v>10542</v>
      </c>
      <c r="C244" s="35" t="s">
        <v>153</v>
      </c>
      <c r="D244" s="35">
        <v>5</v>
      </c>
      <c r="E244" s="35">
        <v>4</v>
      </c>
      <c r="F244" s="36">
        <v>43634</v>
      </c>
      <c r="G244" s="9">
        <f>VLOOKUP(A244,Sheet9!$A:$F,2,FALSE)</f>
        <v>35000000</v>
      </c>
      <c r="H244" s="9" t="str">
        <f>VLOOKUP(A244,Sheet9!$A:$F,3,FALSE )</f>
        <v>Askari</v>
      </c>
      <c r="I244" s="9" t="str">
        <f>VLOOKUP(A244,Sheet9!$A:$F,4,FALSE)</f>
        <v>Lahore</v>
      </c>
      <c r="J244" s="9" t="str">
        <f>VLOOKUP(A244,Sheet9!$A:$F,5,FALSE)</f>
        <v>Punjab</v>
      </c>
      <c r="K244" s="9" t="str">
        <f>VLOOKUP(A244,Sheet9!$A:$F,6,FALSE)</f>
        <v>For Sale</v>
      </c>
      <c r="L244" s="9">
        <f t="shared" si="3"/>
        <v>2</v>
      </c>
    </row>
    <row r="245" spans="1:12" ht="15" thickBot="1">
      <c r="A245" s="31">
        <v>3931998</v>
      </c>
      <c r="B245" s="35">
        <v>9433</v>
      </c>
      <c r="C245" s="35" t="s">
        <v>153</v>
      </c>
      <c r="D245" s="35">
        <v>5</v>
      </c>
      <c r="E245" s="35">
        <v>4</v>
      </c>
      <c r="F245" s="36">
        <v>43634</v>
      </c>
      <c r="G245" s="9">
        <f>VLOOKUP(A245,Sheet9!$A:$F,2,FALSE)</f>
        <v>22000000</v>
      </c>
      <c r="H245" s="9" t="str">
        <f>VLOOKUP(A245,Sheet9!$A:$F,3,FALSE )</f>
        <v>Askari</v>
      </c>
      <c r="I245" s="9" t="str">
        <f>VLOOKUP(A245,Sheet9!$A:$F,4,FALSE)</f>
        <v>Lahore</v>
      </c>
      <c r="J245" s="9" t="str">
        <f>VLOOKUP(A245,Sheet9!$A:$F,5,FALSE)</f>
        <v>Punjab</v>
      </c>
      <c r="K245" s="9" t="str">
        <f>VLOOKUP(A245,Sheet9!$A:$F,6,FALSE)</f>
        <v>For Sale</v>
      </c>
      <c r="L245" s="9">
        <f t="shared" si="3"/>
        <v>2</v>
      </c>
    </row>
    <row r="246" spans="1:12" ht="15" thickBot="1">
      <c r="A246" s="31">
        <v>3932053</v>
      </c>
      <c r="B246" s="35">
        <v>9435</v>
      </c>
      <c r="C246" s="35" t="s">
        <v>153</v>
      </c>
      <c r="D246" s="35">
        <v>6</v>
      </c>
      <c r="E246" s="35">
        <v>5</v>
      </c>
      <c r="F246" s="36">
        <v>43634</v>
      </c>
      <c r="G246" s="9">
        <f>VLOOKUP(A246,Sheet9!$A:$F,2,FALSE)</f>
        <v>23500000</v>
      </c>
      <c r="H246" s="9" t="str">
        <f>VLOOKUP(A246,Sheet9!$A:$F,3,FALSE )</f>
        <v>Askari</v>
      </c>
      <c r="I246" s="9" t="str">
        <f>VLOOKUP(A246,Sheet9!$A:$F,4,FALSE)</f>
        <v>Lahore</v>
      </c>
      <c r="J246" s="9" t="str">
        <f>VLOOKUP(A246,Sheet9!$A:$F,5,FALSE)</f>
        <v>Punjab</v>
      </c>
      <c r="K246" s="9" t="str">
        <f>VLOOKUP(A246,Sheet9!$A:$F,6,FALSE)</f>
        <v>For Sale</v>
      </c>
      <c r="L246" s="9">
        <f t="shared" si="3"/>
        <v>2</v>
      </c>
    </row>
    <row r="247" spans="1:12" ht="15" thickBot="1">
      <c r="A247" s="31">
        <v>3932098</v>
      </c>
      <c r="B247" s="35">
        <v>9435</v>
      </c>
      <c r="C247" s="35" t="s">
        <v>153</v>
      </c>
      <c r="D247" s="35">
        <v>6</v>
      </c>
      <c r="E247" s="35">
        <v>5</v>
      </c>
      <c r="F247" s="36">
        <v>43634</v>
      </c>
      <c r="G247" s="9">
        <f>VLOOKUP(A247,Sheet9!$A:$F,2,FALSE)</f>
        <v>41500000</v>
      </c>
      <c r="H247" s="9" t="str">
        <f>VLOOKUP(A247,Sheet9!$A:$F,3,FALSE )</f>
        <v>Askari</v>
      </c>
      <c r="I247" s="9" t="str">
        <f>VLOOKUP(A247,Sheet9!$A:$F,4,FALSE)</f>
        <v>Lahore</v>
      </c>
      <c r="J247" s="9" t="str">
        <f>VLOOKUP(A247,Sheet9!$A:$F,5,FALSE)</f>
        <v>Punjab</v>
      </c>
      <c r="K247" s="9" t="str">
        <f>VLOOKUP(A247,Sheet9!$A:$F,6,FALSE)</f>
        <v>For Sale</v>
      </c>
      <c r="L247" s="9">
        <f t="shared" si="3"/>
        <v>2</v>
      </c>
    </row>
    <row r="248" spans="1:12" ht="15" thickBot="1">
      <c r="A248" s="31">
        <v>3932130</v>
      </c>
      <c r="B248" s="35">
        <v>9435</v>
      </c>
      <c r="C248" s="35" t="s">
        <v>153</v>
      </c>
      <c r="D248" s="35">
        <v>5</v>
      </c>
      <c r="E248" s="35">
        <v>4</v>
      </c>
      <c r="F248" s="36">
        <v>43634</v>
      </c>
      <c r="G248" s="9">
        <f>VLOOKUP(A248,Sheet9!$A:$F,2,FALSE)</f>
        <v>23000000</v>
      </c>
      <c r="H248" s="9" t="str">
        <f>VLOOKUP(A248,Sheet9!$A:$F,3,FALSE )</f>
        <v>Askari</v>
      </c>
      <c r="I248" s="9" t="str">
        <f>VLOOKUP(A248,Sheet9!$A:$F,4,FALSE)</f>
        <v>Lahore</v>
      </c>
      <c r="J248" s="9" t="str">
        <f>VLOOKUP(A248,Sheet9!$A:$F,5,FALSE)</f>
        <v>Punjab</v>
      </c>
      <c r="K248" s="9" t="str">
        <f>VLOOKUP(A248,Sheet9!$A:$F,6,FALSE)</f>
        <v>For Sale</v>
      </c>
      <c r="L248" s="9">
        <f t="shared" si="3"/>
        <v>2</v>
      </c>
    </row>
    <row r="249" spans="1:12" ht="15" thickBot="1">
      <c r="A249" s="31">
        <v>3932163</v>
      </c>
      <c r="B249" s="35">
        <v>9434</v>
      </c>
      <c r="C249" s="35" t="s">
        <v>153</v>
      </c>
      <c r="D249" s="35">
        <v>5</v>
      </c>
      <c r="E249" s="35">
        <v>4</v>
      </c>
      <c r="F249" s="36">
        <v>43634</v>
      </c>
      <c r="G249" s="9">
        <f>VLOOKUP(A249,Sheet9!$A:$F,2,FALSE)</f>
        <v>23000000</v>
      </c>
      <c r="H249" s="9" t="str">
        <f>VLOOKUP(A249,Sheet9!$A:$F,3,FALSE )</f>
        <v>Askari</v>
      </c>
      <c r="I249" s="9" t="str">
        <f>VLOOKUP(A249,Sheet9!$A:$F,4,FALSE)</f>
        <v>Lahore</v>
      </c>
      <c r="J249" s="9" t="str">
        <f>VLOOKUP(A249,Sheet9!$A:$F,5,FALSE)</f>
        <v>Punjab</v>
      </c>
      <c r="K249" s="9" t="str">
        <f>VLOOKUP(A249,Sheet9!$A:$F,6,FALSE)</f>
        <v>For Sale</v>
      </c>
      <c r="L249" s="9">
        <f t="shared" si="3"/>
        <v>2</v>
      </c>
    </row>
    <row r="250" spans="1:12" ht="15" thickBot="1">
      <c r="A250" s="31">
        <v>3932175</v>
      </c>
      <c r="B250" s="35">
        <v>9436</v>
      </c>
      <c r="C250" s="35" t="s">
        <v>153</v>
      </c>
      <c r="D250" s="35">
        <v>4</v>
      </c>
      <c r="E250" s="35">
        <v>3</v>
      </c>
      <c r="F250" s="36">
        <v>43634</v>
      </c>
      <c r="G250" s="9">
        <f>VLOOKUP(A250,Sheet9!$A:$F,2,FALSE)</f>
        <v>20500000</v>
      </c>
      <c r="H250" s="9" t="str">
        <f>VLOOKUP(A250,Sheet9!$A:$F,3,FALSE )</f>
        <v>Askari</v>
      </c>
      <c r="I250" s="9" t="str">
        <f>VLOOKUP(A250,Sheet9!$A:$F,4,FALSE)</f>
        <v>Lahore</v>
      </c>
      <c r="J250" s="9" t="str">
        <f>VLOOKUP(A250,Sheet9!$A:$F,5,FALSE)</f>
        <v>Punjab</v>
      </c>
      <c r="K250" s="9" t="str">
        <f>VLOOKUP(A250,Sheet9!$A:$F,6,FALSE)</f>
        <v>For Sale</v>
      </c>
      <c r="L250" s="9">
        <f t="shared" si="3"/>
        <v>2</v>
      </c>
    </row>
    <row r="251" spans="1:12" ht="15" thickBot="1">
      <c r="A251" s="31">
        <v>3932182</v>
      </c>
      <c r="B251" s="35">
        <v>9436</v>
      </c>
      <c r="C251" s="35" t="s">
        <v>153</v>
      </c>
      <c r="D251" s="35">
        <v>4</v>
      </c>
      <c r="E251" s="35">
        <v>3</v>
      </c>
      <c r="F251" s="36">
        <v>43634</v>
      </c>
      <c r="G251" s="9">
        <f>VLOOKUP(A251,Sheet9!$A:$F,2,FALSE)</f>
        <v>21000000</v>
      </c>
      <c r="H251" s="9" t="str">
        <f>VLOOKUP(A251,Sheet9!$A:$F,3,FALSE )</f>
        <v>Askari</v>
      </c>
      <c r="I251" s="9" t="str">
        <f>VLOOKUP(A251,Sheet9!$A:$F,4,FALSE)</f>
        <v>Lahore</v>
      </c>
      <c r="J251" s="9" t="str">
        <f>VLOOKUP(A251,Sheet9!$A:$F,5,FALSE)</f>
        <v>Punjab</v>
      </c>
      <c r="K251" s="9" t="str">
        <f>VLOOKUP(A251,Sheet9!$A:$F,6,FALSE)</f>
        <v>For Sale</v>
      </c>
      <c r="L251" s="9">
        <f t="shared" si="3"/>
        <v>2</v>
      </c>
    </row>
    <row r="252" spans="1:12" ht="15" thickBot="1">
      <c r="A252" s="31">
        <v>3933565</v>
      </c>
      <c r="B252" s="35">
        <v>11905</v>
      </c>
      <c r="C252" s="35" t="s">
        <v>154</v>
      </c>
      <c r="D252" s="35">
        <v>4</v>
      </c>
      <c r="E252" s="35">
        <v>4</v>
      </c>
      <c r="F252" s="36">
        <v>43620</v>
      </c>
      <c r="G252" s="9">
        <f>VLOOKUP(A252,Sheet9!$A:$F,2,FALSE)</f>
        <v>15500000</v>
      </c>
      <c r="H252" s="9" t="str">
        <f>VLOOKUP(A252,Sheet9!$A:$F,3,FALSE )</f>
        <v>DHA Defence</v>
      </c>
      <c r="I252" s="9" t="str">
        <f>VLOOKUP(A252,Sheet9!$A:$F,4,FALSE)</f>
        <v>Islamabad</v>
      </c>
      <c r="J252" s="9" t="str">
        <f>VLOOKUP(A252,Sheet9!$A:$F,5,FALSE)</f>
        <v>Islamabad Capital</v>
      </c>
      <c r="K252" s="9" t="str">
        <f>VLOOKUP(A252,Sheet9!$A:$F,6,FALSE)</f>
        <v>For Sale</v>
      </c>
      <c r="L252" s="9">
        <f t="shared" si="3"/>
        <v>3</v>
      </c>
    </row>
    <row r="253" spans="1:12" ht="15" thickBot="1">
      <c r="A253" s="31">
        <v>3944968</v>
      </c>
      <c r="B253" s="35">
        <v>1141</v>
      </c>
      <c r="C253" s="35" t="s">
        <v>153</v>
      </c>
      <c r="D253" s="35">
        <v>6</v>
      </c>
      <c r="E253" s="35">
        <v>6</v>
      </c>
      <c r="F253" s="36">
        <v>43651</v>
      </c>
      <c r="G253" s="9">
        <f>VLOOKUP(A253,Sheet9!$A:$F,2,FALSE)</f>
        <v>45000000</v>
      </c>
      <c r="H253" s="9" t="str">
        <f>VLOOKUP(A253,Sheet9!$A:$F,3,FALSE )</f>
        <v>Dhok Kashmirian</v>
      </c>
      <c r="I253" s="9" t="str">
        <f>VLOOKUP(A253,Sheet9!$A:$F,4,FALSE)</f>
        <v>Rawalpindi</v>
      </c>
      <c r="J253" s="9" t="str">
        <f>VLOOKUP(A253,Sheet9!$A:$F,5,FALSE)</f>
        <v>Punjab</v>
      </c>
      <c r="K253" s="9" t="str">
        <f>VLOOKUP(A253,Sheet9!$A:$F,6,FALSE)</f>
        <v>For Sale</v>
      </c>
      <c r="L253" s="9">
        <f t="shared" si="3"/>
        <v>2</v>
      </c>
    </row>
    <row r="254" spans="1:12" ht="15" thickBot="1">
      <c r="A254" s="31">
        <v>3962195</v>
      </c>
      <c r="B254" s="35">
        <v>4892</v>
      </c>
      <c r="C254" s="35" t="s">
        <v>153</v>
      </c>
      <c r="D254" s="35">
        <v>3</v>
      </c>
      <c r="E254" s="35">
        <v>4</v>
      </c>
      <c r="F254" s="36">
        <v>43543</v>
      </c>
      <c r="G254" s="9">
        <f>VLOOKUP(A254,Sheet9!$A:$F,2,FALSE)</f>
        <v>8500000</v>
      </c>
      <c r="H254" s="9" t="str">
        <f>VLOOKUP(A254,Sheet9!$A:$F,3,FALSE )</f>
        <v>Abdullahpur</v>
      </c>
      <c r="I254" s="9" t="str">
        <f>VLOOKUP(A254,Sheet9!$A:$F,4,FALSE)</f>
        <v>Faisalabad</v>
      </c>
      <c r="J254" s="9" t="str">
        <f>VLOOKUP(A254,Sheet9!$A:$F,5,FALSE)</f>
        <v>Punjab</v>
      </c>
      <c r="K254" s="9" t="str">
        <f>VLOOKUP(A254,Sheet9!$A:$F,6,FALSE)</f>
        <v>For Sale</v>
      </c>
      <c r="L254" s="9">
        <f t="shared" si="3"/>
        <v>2</v>
      </c>
    </row>
    <row r="255" spans="1:12" ht="15" thickBot="1">
      <c r="A255" s="31">
        <v>3965775</v>
      </c>
      <c r="B255" s="35">
        <v>1242</v>
      </c>
      <c r="C255" s="35" t="s">
        <v>153</v>
      </c>
      <c r="D255" s="35">
        <v>7</v>
      </c>
      <c r="E255" s="35">
        <v>5</v>
      </c>
      <c r="F255" s="36">
        <v>43499</v>
      </c>
      <c r="G255" s="9">
        <f>VLOOKUP(A255,Sheet9!$A:$F,2,FALSE)</f>
        <v>19200000</v>
      </c>
      <c r="H255" s="9" t="str">
        <f>VLOOKUP(A255,Sheet9!$A:$F,3,FALSE )</f>
        <v>Architects Engineers Housing Society</v>
      </c>
      <c r="I255" s="9" t="str">
        <f>VLOOKUP(A255,Sheet9!$A:$F,4,FALSE)</f>
        <v>Lahore</v>
      </c>
      <c r="J255" s="9" t="str">
        <f>VLOOKUP(A255,Sheet9!$A:$F,5,FALSE)</f>
        <v>Punjab</v>
      </c>
      <c r="K255" s="9" t="str">
        <f>VLOOKUP(A255,Sheet9!$A:$F,6,FALSE)</f>
        <v>For Sale</v>
      </c>
      <c r="L255" s="9">
        <f t="shared" si="3"/>
        <v>2</v>
      </c>
    </row>
    <row r="256" spans="1:12" ht="15" thickBot="1">
      <c r="A256" s="31">
        <v>3968998</v>
      </c>
      <c r="B256" s="35">
        <v>11579</v>
      </c>
      <c r="C256" s="35" t="s">
        <v>153</v>
      </c>
      <c r="D256" s="35">
        <v>6</v>
      </c>
      <c r="E256" s="35">
        <v>6</v>
      </c>
      <c r="F256" s="36">
        <v>43623</v>
      </c>
      <c r="G256" s="9">
        <f>VLOOKUP(A256,Sheet9!$A:$F,2,FALSE)</f>
        <v>105000000</v>
      </c>
      <c r="H256" s="9" t="str">
        <f>VLOOKUP(A256,Sheet9!$A:$F,3,FALSE )</f>
        <v>Navy Housing Scheme Karsaz</v>
      </c>
      <c r="I256" s="9" t="str">
        <f>VLOOKUP(A256,Sheet9!$A:$F,4,FALSE)</f>
        <v>Karachi</v>
      </c>
      <c r="J256" s="9" t="str">
        <f>VLOOKUP(A256,Sheet9!$A:$F,5,FALSE)</f>
        <v>Sindh</v>
      </c>
      <c r="K256" s="9" t="str">
        <f>VLOOKUP(A256,Sheet9!$A:$F,6,FALSE)</f>
        <v>For Sale</v>
      </c>
      <c r="L256" s="9">
        <f t="shared" si="3"/>
        <v>1</v>
      </c>
    </row>
    <row r="257" spans="1:12" ht="15" thickBot="1">
      <c r="A257" s="31">
        <v>3977801</v>
      </c>
      <c r="B257" s="35">
        <v>4116</v>
      </c>
      <c r="C257" s="35" t="s">
        <v>153</v>
      </c>
      <c r="D257" s="35">
        <v>4</v>
      </c>
      <c r="E257" s="35">
        <v>3</v>
      </c>
      <c r="F257" s="36">
        <v>43628</v>
      </c>
      <c r="G257" s="9">
        <f>VLOOKUP(A257,Sheet9!$A:$F,2,FALSE)</f>
        <v>7700000</v>
      </c>
      <c r="H257" s="9" t="str">
        <f>VLOOKUP(A257,Sheet9!$A:$F,3,FALSE )</f>
        <v>Paragon City</v>
      </c>
      <c r="I257" s="9" t="str">
        <f>VLOOKUP(A257,Sheet9!$A:$F,4,FALSE)</f>
        <v>Lahore</v>
      </c>
      <c r="J257" s="9" t="str">
        <f>VLOOKUP(A257,Sheet9!$A:$F,5,FALSE)</f>
        <v>Punjab</v>
      </c>
      <c r="K257" s="9" t="str">
        <f>VLOOKUP(A257,Sheet9!$A:$F,6,FALSE)</f>
        <v>For Sale</v>
      </c>
      <c r="L257" s="9">
        <f t="shared" si="3"/>
        <v>2</v>
      </c>
    </row>
    <row r="258" spans="1:12" ht="15" thickBot="1">
      <c r="A258" s="31">
        <v>3978506</v>
      </c>
      <c r="B258" s="35">
        <v>162</v>
      </c>
      <c r="C258" s="35" t="s">
        <v>153</v>
      </c>
      <c r="D258" s="35">
        <v>6</v>
      </c>
      <c r="E258" s="35">
        <v>6</v>
      </c>
      <c r="F258" s="36">
        <v>43530</v>
      </c>
      <c r="G258" s="9">
        <f>VLOOKUP(A258,Sheet9!$A:$F,2,FALSE)</f>
        <v>180000</v>
      </c>
      <c r="H258" s="9" t="str">
        <f>VLOOKUP(A258,Sheet9!$A:$F,3,FALSE )</f>
        <v>F-10</v>
      </c>
      <c r="I258" s="9" t="str">
        <f>VLOOKUP(A258,Sheet9!$A:$F,4,FALSE)</f>
        <v>Islamabad</v>
      </c>
      <c r="J258" s="9" t="str">
        <f>VLOOKUP(A258,Sheet9!$A:$F,5,FALSE)</f>
        <v>Islamabad Capital</v>
      </c>
      <c r="K258" s="9" t="str">
        <f>VLOOKUP(A258,Sheet9!$A:$F,6,FALSE)</f>
        <v>For Rent</v>
      </c>
      <c r="L258" s="9">
        <f t="shared" si="3"/>
        <v>3</v>
      </c>
    </row>
    <row r="259" spans="1:12" ht="29.5" thickBot="1">
      <c r="A259" s="31">
        <v>3978578</v>
      </c>
      <c r="B259" s="35">
        <v>162</v>
      </c>
      <c r="C259" s="35" t="s">
        <v>155</v>
      </c>
      <c r="D259" s="35">
        <v>3</v>
      </c>
      <c r="E259" s="35">
        <v>3</v>
      </c>
      <c r="F259" s="36">
        <v>43530</v>
      </c>
      <c r="G259" s="9">
        <f>VLOOKUP(A259,Sheet9!$A:$F,2,FALSE)</f>
        <v>70000</v>
      </c>
      <c r="H259" s="9" t="str">
        <f>VLOOKUP(A259,Sheet9!$A:$F,3,FALSE )</f>
        <v>F-10</v>
      </c>
      <c r="I259" s="9" t="str">
        <f>VLOOKUP(A259,Sheet9!$A:$F,4,FALSE)</f>
        <v>Islamabad</v>
      </c>
      <c r="J259" s="9" t="str">
        <f>VLOOKUP(A259,Sheet9!$A:$F,5,FALSE)</f>
        <v>Islamabad Capital</v>
      </c>
      <c r="K259" s="9" t="str">
        <f>VLOOKUP(A259,Sheet9!$A:$F,6,FALSE)</f>
        <v>For Rent</v>
      </c>
      <c r="L259" s="9">
        <f t="shared" ref="L259:L322" si="4">HLOOKUP(J259,$N$1:$P$2,2,FALSE)</f>
        <v>3</v>
      </c>
    </row>
    <row r="260" spans="1:12" ht="29.5" thickBot="1">
      <c r="A260" s="31">
        <v>3978659</v>
      </c>
      <c r="B260" s="35">
        <v>162</v>
      </c>
      <c r="C260" s="35" t="s">
        <v>156</v>
      </c>
      <c r="D260" s="35">
        <v>0</v>
      </c>
      <c r="E260" s="35">
        <v>3</v>
      </c>
      <c r="F260" s="36">
        <v>43530</v>
      </c>
      <c r="G260" s="9">
        <f>VLOOKUP(A260,Sheet9!$A:$F,2,FALSE)</f>
        <v>85000</v>
      </c>
      <c r="H260" s="9" t="str">
        <f>VLOOKUP(A260,Sheet9!$A:$F,3,FALSE )</f>
        <v>F-10</v>
      </c>
      <c r="I260" s="9" t="str">
        <f>VLOOKUP(A260,Sheet9!$A:$F,4,FALSE)</f>
        <v>Islamabad</v>
      </c>
      <c r="J260" s="9" t="str">
        <f>VLOOKUP(A260,Sheet9!$A:$F,5,FALSE)</f>
        <v>Islamabad Capital</v>
      </c>
      <c r="K260" s="9" t="str">
        <f>VLOOKUP(A260,Sheet9!$A:$F,6,FALSE)</f>
        <v>For Rent</v>
      </c>
      <c r="L260" s="9">
        <f t="shared" si="4"/>
        <v>3</v>
      </c>
    </row>
    <row r="261" spans="1:12" ht="15" thickBot="1">
      <c r="A261" s="31">
        <v>3978702</v>
      </c>
      <c r="B261" s="35">
        <v>162</v>
      </c>
      <c r="C261" s="35" t="s">
        <v>153</v>
      </c>
      <c r="D261" s="35">
        <v>6</v>
      </c>
      <c r="E261" s="35">
        <v>5</v>
      </c>
      <c r="F261" s="36">
        <v>43530</v>
      </c>
      <c r="G261" s="9">
        <f>VLOOKUP(A261,Sheet9!$A:$F,2,FALSE)</f>
        <v>140000</v>
      </c>
      <c r="H261" s="9" t="str">
        <f>VLOOKUP(A261,Sheet9!$A:$F,3,FALSE )</f>
        <v>F-10</v>
      </c>
      <c r="I261" s="9" t="str">
        <f>VLOOKUP(A261,Sheet9!$A:$F,4,FALSE)</f>
        <v>Islamabad</v>
      </c>
      <c r="J261" s="9" t="str">
        <f>VLOOKUP(A261,Sheet9!$A:$F,5,FALSE)</f>
        <v>Islamabad Capital</v>
      </c>
      <c r="K261" s="9" t="str">
        <f>VLOOKUP(A261,Sheet9!$A:$F,6,FALSE)</f>
        <v>For Rent</v>
      </c>
      <c r="L261" s="9">
        <f t="shared" si="4"/>
        <v>3</v>
      </c>
    </row>
    <row r="262" spans="1:12" ht="29.5" thickBot="1">
      <c r="A262" s="31">
        <v>3978710</v>
      </c>
      <c r="B262" s="35">
        <v>162</v>
      </c>
      <c r="C262" s="35" t="s">
        <v>155</v>
      </c>
      <c r="D262" s="35">
        <v>3</v>
      </c>
      <c r="E262" s="35">
        <v>3</v>
      </c>
      <c r="F262" s="36">
        <v>43530</v>
      </c>
      <c r="G262" s="9">
        <f>VLOOKUP(A262,Sheet9!$A:$F,2,FALSE)</f>
        <v>75000</v>
      </c>
      <c r="H262" s="9" t="str">
        <f>VLOOKUP(A262,Sheet9!$A:$F,3,FALSE )</f>
        <v>F-10</v>
      </c>
      <c r="I262" s="9" t="str">
        <f>VLOOKUP(A262,Sheet9!$A:$F,4,FALSE)</f>
        <v>Islamabad</v>
      </c>
      <c r="J262" s="9" t="str">
        <f>VLOOKUP(A262,Sheet9!$A:$F,5,FALSE)</f>
        <v>Islamabad Capital</v>
      </c>
      <c r="K262" s="9" t="str">
        <f>VLOOKUP(A262,Sheet9!$A:$F,6,FALSE)</f>
        <v>For Rent</v>
      </c>
      <c r="L262" s="9">
        <f t="shared" si="4"/>
        <v>3</v>
      </c>
    </row>
    <row r="263" spans="1:12" ht="15" thickBot="1">
      <c r="A263" s="31">
        <v>3991627</v>
      </c>
      <c r="B263" s="35">
        <v>8172</v>
      </c>
      <c r="C263" s="35" t="s">
        <v>153</v>
      </c>
      <c r="D263" s="35">
        <v>5</v>
      </c>
      <c r="E263" s="35">
        <v>4</v>
      </c>
      <c r="F263" s="36">
        <v>43641</v>
      </c>
      <c r="G263" s="9">
        <f>VLOOKUP(A263,Sheet9!$A:$F,2,FALSE)</f>
        <v>21500000</v>
      </c>
      <c r="H263" s="9" t="str">
        <f>VLOOKUP(A263,Sheet9!$A:$F,3,FALSE )</f>
        <v>DHA Defence</v>
      </c>
      <c r="I263" s="9" t="str">
        <f>VLOOKUP(A263,Sheet9!$A:$F,4,FALSE)</f>
        <v>Lahore</v>
      </c>
      <c r="J263" s="9" t="str">
        <f>VLOOKUP(A263,Sheet9!$A:$F,5,FALSE)</f>
        <v>Punjab</v>
      </c>
      <c r="K263" s="9" t="str">
        <f>VLOOKUP(A263,Sheet9!$A:$F,6,FALSE)</f>
        <v>For Sale</v>
      </c>
      <c r="L263" s="9">
        <f t="shared" si="4"/>
        <v>2</v>
      </c>
    </row>
    <row r="264" spans="1:12" ht="15" thickBot="1">
      <c r="A264" s="31">
        <v>3998897</v>
      </c>
      <c r="B264" s="35">
        <v>1796</v>
      </c>
      <c r="C264" s="35" t="s">
        <v>153</v>
      </c>
      <c r="D264" s="35">
        <v>4</v>
      </c>
      <c r="E264" s="35">
        <v>3</v>
      </c>
      <c r="F264" s="36">
        <v>43588</v>
      </c>
      <c r="G264" s="9">
        <f>VLOOKUP(A264,Sheet9!$A:$F,2,FALSE)</f>
        <v>11800000</v>
      </c>
      <c r="H264" s="9" t="str">
        <f>VLOOKUP(A264,Sheet9!$A:$F,3,FALSE )</f>
        <v>Bahria Town</v>
      </c>
      <c r="I264" s="9" t="str">
        <f>VLOOKUP(A264,Sheet9!$A:$F,4,FALSE)</f>
        <v>Lahore</v>
      </c>
      <c r="J264" s="9" t="str">
        <f>VLOOKUP(A264,Sheet9!$A:$F,5,FALSE)</f>
        <v>Punjab</v>
      </c>
      <c r="K264" s="9" t="str">
        <f>VLOOKUP(A264,Sheet9!$A:$F,6,FALSE)</f>
        <v>For Sale</v>
      </c>
      <c r="L264" s="9">
        <f t="shared" si="4"/>
        <v>2</v>
      </c>
    </row>
    <row r="265" spans="1:12" ht="15" thickBot="1">
      <c r="A265" s="31">
        <v>4001761</v>
      </c>
      <c r="B265" s="35">
        <v>6934</v>
      </c>
      <c r="C265" s="35" t="s">
        <v>154</v>
      </c>
      <c r="D265" s="35">
        <v>0</v>
      </c>
      <c r="E265" s="35">
        <v>3</v>
      </c>
      <c r="F265" s="36">
        <v>43534</v>
      </c>
      <c r="G265" s="9">
        <f>VLOOKUP(A265,Sheet9!$A:$F,2,FALSE)</f>
        <v>25000000</v>
      </c>
      <c r="H265" s="9" t="str">
        <f>VLOOKUP(A265,Sheet9!$A:$F,3,FALSE )</f>
        <v>Jamshed Town</v>
      </c>
      <c r="I265" s="9" t="str">
        <f>VLOOKUP(A265,Sheet9!$A:$F,4,FALSE)</f>
        <v>Karachi</v>
      </c>
      <c r="J265" s="9" t="str">
        <f>VLOOKUP(A265,Sheet9!$A:$F,5,FALSE)</f>
        <v>Sindh</v>
      </c>
      <c r="K265" s="9" t="str">
        <f>VLOOKUP(A265,Sheet9!$A:$F,6,FALSE)</f>
        <v>For Sale</v>
      </c>
      <c r="L265" s="9">
        <f t="shared" si="4"/>
        <v>1</v>
      </c>
    </row>
    <row r="266" spans="1:12" ht="15" thickBot="1">
      <c r="A266" s="31">
        <v>4015309</v>
      </c>
      <c r="B266" s="35">
        <v>8172</v>
      </c>
      <c r="C266" s="35" t="s">
        <v>153</v>
      </c>
      <c r="D266" s="35">
        <v>5</v>
      </c>
      <c r="E266" s="35">
        <v>4</v>
      </c>
      <c r="F266" s="36">
        <v>43641</v>
      </c>
      <c r="G266" s="9">
        <f>VLOOKUP(A266,Sheet9!$A:$F,2,FALSE)</f>
        <v>26500000</v>
      </c>
      <c r="H266" s="9" t="str">
        <f>VLOOKUP(A266,Sheet9!$A:$F,3,FALSE )</f>
        <v>DHA Defence</v>
      </c>
      <c r="I266" s="9" t="str">
        <f>VLOOKUP(A266,Sheet9!$A:$F,4,FALSE)</f>
        <v>Lahore</v>
      </c>
      <c r="J266" s="9" t="str">
        <f>VLOOKUP(A266,Sheet9!$A:$F,5,FALSE)</f>
        <v>Punjab</v>
      </c>
      <c r="K266" s="9" t="str">
        <f>VLOOKUP(A266,Sheet9!$A:$F,6,FALSE)</f>
        <v>For Sale</v>
      </c>
      <c r="L266" s="9">
        <f t="shared" si="4"/>
        <v>2</v>
      </c>
    </row>
    <row r="267" spans="1:12" ht="15" thickBot="1">
      <c r="A267" s="31">
        <v>4015520</v>
      </c>
      <c r="B267" s="35">
        <v>3337</v>
      </c>
      <c r="C267" s="35" t="s">
        <v>153</v>
      </c>
      <c r="D267" s="35">
        <v>9</v>
      </c>
      <c r="E267" s="35">
        <v>9</v>
      </c>
      <c r="F267" s="36">
        <v>43560</v>
      </c>
      <c r="G267" s="9">
        <f>VLOOKUP(A267,Sheet9!$A:$F,2,FALSE)</f>
        <v>46500000</v>
      </c>
      <c r="H267" s="9" t="str">
        <f>VLOOKUP(A267,Sheet9!$A:$F,3,FALSE )</f>
        <v>G-13</v>
      </c>
      <c r="I267" s="9" t="str">
        <f>VLOOKUP(A267,Sheet9!$A:$F,4,FALSE)</f>
        <v>Islamabad</v>
      </c>
      <c r="J267" s="9" t="str">
        <f>VLOOKUP(A267,Sheet9!$A:$F,5,FALSE)</f>
        <v>Islamabad Capital</v>
      </c>
      <c r="K267" s="9" t="str">
        <f>VLOOKUP(A267,Sheet9!$A:$F,6,FALSE)</f>
        <v>For Sale</v>
      </c>
      <c r="L267" s="9">
        <f t="shared" si="4"/>
        <v>3</v>
      </c>
    </row>
    <row r="268" spans="1:12" ht="15" thickBot="1">
      <c r="A268" s="31">
        <v>4016615</v>
      </c>
      <c r="B268" s="35">
        <v>9582</v>
      </c>
      <c r="C268" s="35" t="s">
        <v>153</v>
      </c>
      <c r="D268" s="35">
        <v>0</v>
      </c>
      <c r="E268" s="35">
        <v>5</v>
      </c>
      <c r="F268" s="36">
        <v>43636</v>
      </c>
      <c r="G268" s="9">
        <f>VLOOKUP(A268,Sheet9!$A:$F,2,FALSE)</f>
        <v>75000000</v>
      </c>
      <c r="H268" s="9" t="str">
        <f>VLOOKUP(A268,Sheet9!$A:$F,3,FALSE )</f>
        <v>Malir</v>
      </c>
      <c r="I268" s="9" t="str">
        <f>VLOOKUP(A268,Sheet9!$A:$F,4,FALSE)</f>
        <v>Karachi</v>
      </c>
      <c r="J268" s="9" t="str">
        <f>VLOOKUP(A268,Sheet9!$A:$F,5,FALSE)</f>
        <v>Sindh</v>
      </c>
      <c r="K268" s="9" t="str">
        <f>VLOOKUP(A268,Sheet9!$A:$F,6,FALSE)</f>
        <v>For Sale</v>
      </c>
      <c r="L268" s="9">
        <f t="shared" si="4"/>
        <v>1</v>
      </c>
    </row>
    <row r="269" spans="1:12" ht="15" thickBot="1">
      <c r="A269" s="31">
        <v>4016954</v>
      </c>
      <c r="B269" s="35">
        <v>8172</v>
      </c>
      <c r="C269" s="35" t="s">
        <v>153</v>
      </c>
      <c r="D269" s="35">
        <v>7</v>
      </c>
      <c r="E269" s="35">
        <v>6</v>
      </c>
      <c r="F269" s="36">
        <v>43634</v>
      </c>
      <c r="G269" s="9">
        <f>VLOOKUP(A269,Sheet9!$A:$F,2,FALSE)</f>
        <v>70000000</v>
      </c>
      <c r="H269" s="9" t="str">
        <f>VLOOKUP(A269,Sheet9!$A:$F,3,FALSE )</f>
        <v>DHA Defence</v>
      </c>
      <c r="I269" s="9" t="str">
        <f>VLOOKUP(A269,Sheet9!$A:$F,4,FALSE)</f>
        <v>Lahore</v>
      </c>
      <c r="J269" s="9" t="str">
        <f>VLOOKUP(A269,Sheet9!$A:$F,5,FALSE)</f>
        <v>Punjab</v>
      </c>
      <c r="K269" s="9" t="str">
        <f>VLOOKUP(A269,Sheet9!$A:$F,6,FALSE)</f>
        <v>For Sale</v>
      </c>
      <c r="L269" s="9">
        <f t="shared" si="4"/>
        <v>2</v>
      </c>
    </row>
    <row r="270" spans="1:12" ht="15" thickBot="1">
      <c r="A270" s="31">
        <v>4017113</v>
      </c>
      <c r="B270" s="35">
        <v>8172</v>
      </c>
      <c r="C270" s="35" t="s">
        <v>153</v>
      </c>
      <c r="D270" s="35">
        <v>6</v>
      </c>
      <c r="E270" s="35">
        <v>5</v>
      </c>
      <c r="F270" s="36">
        <v>43641</v>
      </c>
      <c r="G270" s="9">
        <f>VLOOKUP(A270,Sheet9!$A:$F,2,FALSE)</f>
        <v>49500000</v>
      </c>
      <c r="H270" s="9" t="str">
        <f>VLOOKUP(A270,Sheet9!$A:$F,3,FALSE )</f>
        <v>DHA Defence</v>
      </c>
      <c r="I270" s="9" t="str">
        <f>VLOOKUP(A270,Sheet9!$A:$F,4,FALSE)</f>
        <v>Lahore</v>
      </c>
      <c r="J270" s="9" t="str">
        <f>VLOOKUP(A270,Sheet9!$A:$F,5,FALSE)</f>
        <v>Punjab</v>
      </c>
      <c r="K270" s="9" t="str">
        <f>VLOOKUP(A270,Sheet9!$A:$F,6,FALSE)</f>
        <v>For Sale</v>
      </c>
      <c r="L270" s="9">
        <f t="shared" si="4"/>
        <v>2</v>
      </c>
    </row>
    <row r="271" spans="1:12" ht="15" thickBot="1">
      <c r="A271" s="31">
        <v>4017728</v>
      </c>
      <c r="B271" s="35">
        <v>1270</v>
      </c>
      <c r="C271" s="35" t="s">
        <v>154</v>
      </c>
      <c r="D271" s="35">
        <v>0</v>
      </c>
      <c r="E271" s="35">
        <v>3</v>
      </c>
      <c r="F271" s="36">
        <v>43620</v>
      </c>
      <c r="G271" s="9">
        <f>VLOOKUP(A271,Sheet9!$A:$F,2,FALSE)</f>
        <v>16000000</v>
      </c>
      <c r="H271" s="9" t="str">
        <f>VLOOKUP(A271,Sheet9!$A:$F,3,FALSE )</f>
        <v>Askari 7</v>
      </c>
      <c r="I271" s="9" t="str">
        <f>VLOOKUP(A271,Sheet9!$A:$F,4,FALSE)</f>
        <v>Rawalpindi</v>
      </c>
      <c r="J271" s="9" t="str">
        <f>VLOOKUP(A271,Sheet9!$A:$F,5,FALSE)</f>
        <v>Punjab</v>
      </c>
      <c r="K271" s="9" t="str">
        <f>VLOOKUP(A271,Sheet9!$A:$F,6,FALSE)</f>
        <v>For Sale</v>
      </c>
      <c r="L271" s="9">
        <f t="shared" si="4"/>
        <v>2</v>
      </c>
    </row>
    <row r="272" spans="1:12" ht="15" thickBot="1">
      <c r="A272" s="31">
        <v>4017925</v>
      </c>
      <c r="B272" s="35">
        <v>9214</v>
      </c>
      <c r="C272" s="35" t="s">
        <v>154</v>
      </c>
      <c r="D272" s="35">
        <v>4</v>
      </c>
      <c r="E272" s="35">
        <v>3</v>
      </c>
      <c r="F272" s="36">
        <v>43620</v>
      </c>
      <c r="G272" s="9">
        <f>VLOOKUP(A272,Sheet9!$A:$F,2,FALSE)</f>
        <v>11500000</v>
      </c>
      <c r="H272" s="9" t="str">
        <f>VLOOKUP(A272,Sheet9!$A:$F,3,FALSE )</f>
        <v>Askari 4</v>
      </c>
      <c r="I272" s="9" t="str">
        <f>VLOOKUP(A272,Sheet9!$A:$F,4,FALSE)</f>
        <v>Rawalpindi</v>
      </c>
      <c r="J272" s="9" t="str">
        <f>VLOOKUP(A272,Sheet9!$A:$F,5,FALSE)</f>
        <v>Punjab</v>
      </c>
      <c r="K272" s="9" t="str">
        <f>VLOOKUP(A272,Sheet9!$A:$F,6,FALSE)</f>
        <v>For Sale</v>
      </c>
      <c r="L272" s="9">
        <f t="shared" si="4"/>
        <v>2</v>
      </c>
    </row>
    <row r="273" spans="1:12" ht="15" thickBot="1">
      <c r="A273" s="31">
        <v>4017933</v>
      </c>
      <c r="B273" s="35">
        <v>9438</v>
      </c>
      <c r="C273" s="35" t="s">
        <v>154</v>
      </c>
      <c r="D273" s="35">
        <v>0</v>
      </c>
      <c r="E273" s="35">
        <v>3</v>
      </c>
      <c r="F273" s="36">
        <v>43620</v>
      </c>
      <c r="G273" s="9">
        <f>VLOOKUP(A273,Sheet9!$A:$F,2,FALSE)</f>
        <v>11500000</v>
      </c>
      <c r="H273" s="9" t="str">
        <f>VLOOKUP(A273,Sheet9!$A:$F,3,FALSE )</f>
        <v>Askari 1</v>
      </c>
      <c r="I273" s="9" t="str">
        <f>VLOOKUP(A273,Sheet9!$A:$F,4,FALSE)</f>
        <v>Rawalpindi</v>
      </c>
      <c r="J273" s="9" t="str">
        <f>VLOOKUP(A273,Sheet9!$A:$F,5,FALSE)</f>
        <v>Punjab</v>
      </c>
      <c r="K273" s="9" t="str">
        <f>VLOOKUP(A273,Sheet9!$A:$F,6,FALSE)</f>
        <v>For Sale</v>
      </c>
      <c r="L273" s="9">
        <f t="shared" si="4"/>
        <v>2</v>
      </c>
    </row>
    <row r="274" spans="1:12" ht="15" thickBot="1">
      <c r="A274" s="31">
        <v>4018101</v>
      </c>
      <c r="B274" s="35">
        <v>8156</v>
      </c>
      <c r="C274" s="35" t="s">
        <v>154</v>
      </c>
      <c r="D274" s="35">
        <v>4</v>
      </c>
      <c r="E274" s="35">
        <v>3</v>
      </c>
      <c r="F274" s="36">
        <v>43620</v>
      </c>
      <c r="G274" s="9">
        <f>VLOOKUP(A274,Sheet9!$A:$F,2,FALSE)</f>
        <v>9800000</v>
      </c>
      <c r="H274" s="9" t="str">
        <f>VLOOKUP(A274,Sheet9!$A:$F,3,FALSE )</f>
        <v>Askari 3</v>
      </c>
      <c r="I274" s="9" t="str">
        <f>VLOOKUP(A274,Sheet9!$A:$F,4,FALSE)</f>
        <v>Rawalpindi</v>
      </c>
      <c r="J274" s="9" t="str">
        <f>VLOOKUP(A274,Sheet9!$A:$F,5,FALSE)</f>
        <v>Punjab</v>
      </c>
      <c r="K274" s="9" t="str">
        <f>VLOOKUP(A274,Sheet9!$A:$F,6,FALSE)</f>
        <v>For Sale</v>
      </c>
      <c r="L274" s="9">
        <f t="shared" si="4"/>
        <v>2</v>
      </c>
    </row>
    <row r="275" spans="1:12" ht="15" thickBot="1">
      <c r="A275" s="31">
        <v>4018105</v>
      </c>
      <c r="B275" s="35">
        <v>9439</v>
      </c>
      <c r="C275" s="35" t="s">
        <v>154</v>
      </c>
      <c r="D275" s="35">
        <v>4</v>
      </c>
      <c r="E275" s="35">
        <v>3</v>
      </c>
      <c r="F275" s="36">
        <v>43620</v>
      </c>
      <c r="G275" s="9">
        <f>VLOOKUP(A275,Sheet9!$A:$F,2,FALSE)</f>
        <v>9800000</v>
      </c>
      <c r="H275" s="9" t="str">
        <f>VLOOKUP(A275,Sheet9!$A:$F,3,FALSE )</f>
        <v>Askari 2</v>
      </c>
      <c r="I275" s="9" t="str">
        <f>VLOOKUP(A275,Sheet9!$A:$F,4,FALSE)</f>
        <v>Rawalpindi</v>
      </c>
      <c r="J275" s="9" t="str">
        <f>VLOOKUP(A275,Sheet9!$A:$F,5,FALSE)</f>
        <v>Punjab</v>
      </c>
      <c r="K275" s="9" t="str">
        <f>VLOOKUP(A275,Sheet9!$A:$F,6,FALSE)</f>
        <v>For Sale</v>
      </c>
      <c r="L275" s="9">
        <f t="shared" si="4"/>
        <v>2</v>
      </c>
    </row>
    <row r="276" spans="1:12" ht="15" thickBot="1">
      <c r="A276" s="31">
        <v>4018252</v>
      </c>
      <c r="B276" s="35">
        <v>9439</v>
      </c>
      <c r="C276" s="35" t="s">
        <v>154</v>
      </c>
      <c r="D276" s="35">
        <v>0</v>
      </c>
      <c r="E276" s="35">
        <v>3</v>
      </c>
      <c r="F276" s="36">
        <v>43591</v>
      </c>
      <c r="G276" s="9">
        <f>VLOOKUP(A276,Sheet9!$A:$F,2,FALSE)</f>
        <v>35000</v>
      </c>
      <c r="H276" s="9" t="str">
        <f>VLOOKUP(A276,Sheet9!$A:$F,3,FALSE )</f>
        <v>Askari 2</v>
      </c>
      <c r="I276" s="9" t="str">
        <f>VLOOKUP(A276,Sheet9!$A:$F,4,FALSE)</f>
        <v>Rawalpindi</v>
      </c>
      <c r="J276" s="9" t="str">
        <f>VLOOKUP(A276,Sheet9!$A:$F,5,FALSE)</f>
        <v>Punjab</v>
      </c>
      <c r="K276" s="9" t="str">
        <f>VLOOKUP(A276,Sheet9!$A:$F,6,FALSE)</f>
        <v>For Rent</v>
      </c>
      <c r="L276" s="9">
        <f t="shared" si="4"/>
        <v>2</v>
      </c>
    </row>
    <row r="277" spans="1:12" ht="15" thickBot="1">
      <c r="A277" s="31">
        <v>4018257</v>
      </c>
      <c r="B277" s="35">
        <v>8156</v>
      </c>
      <c r="C277" s="35" t="s">
        <v>154</v>
      </c>
      <c r="D277" s="35">
        <v>4</v>
      </c>
      <c r="E277" s="35">
        <v>3</v>
      </c>
      <c r="F277" s="36">
        <v>43591</v>
      </c>
      <c r="G277" s="9">
        <f>VLOOKUP(A277,Sheet9!$A:$F,2,FALSE)</f>
        <v>45000</v>
      </c>
      <c r="H277" s="9" t="str">
        <f>VLOOKUP(A277,Sheet9!$A:$F,3,FALSE )</f>
        <v>Askari 3</v>
      </c>
      <c r="I277" s="9" t="str">
        <f>VLOOKUP(A277,Sheet9!$A:$F,4,FALSE)</f>
        <v>Rawalpindi</v>
      </c>
      <c r="J277" s="9" t="str">
        <f>VLOOKUP(A277,Sheet9!$A:$F,5,FALSE)</f>
        <v>Punjab</v>
      </c>
      <c r="K277" s="9" t="str">
        <f>VLOOKUP(A277,Sheet9!$A:$F,6,FALSE)</f>
        <v>For Rent</v>
      </c>
      <c r="L277" s="9">
        <f t="shared" si="4"/>
        <v>2</v>
      </c>
    </row>
    <row r="278" spans="1:12" ht="15" thickBot="1">
      <c r="A278" s="31">
        <v>4018358</v>
      </c>
      <c r="B278" s="35">
        <v>1270</v>
      </c>
      <c r="C278" s="35" t="s">
        <v>154</v>
      </c>
      <c r="D278" s="35">
        <v>4</v>
      </c>
      <c r="E278" s="35">
        <v>3</v>
      </c>
      <c r="F278" s="36">
        <v>43591</v>
      </c>
      <c r="G278" s="9">
        <f>VLOOKUP(A278,Sheet9!$A:$F,2,FALSE)</f>
        <v>35000</v>
      </c>
      <c r="H278" s="9" t="str">
        <f>VLOOKUP(A278,Sheet9!$A:$F,3,FALSE )</f>
        <v>Askari 7</v>
      </c>
      <c r="I278" s="9" t="str">
        <f>VLOOKUP(A278,Sheet9!$A:$F,4,FALSE)</f>
        <v>Rawalpindi</v>
      </c>
      <c r="J278" s="9" t="str">
        <f>VLOOKUP(A278,Sheet9!$A:$F,5,FALSE)</f>
        <v>Punjab</v>
      </c>
      <c r="K278" s="9" t="str">
        <f>VLOOKUP(A278,Sheet9!$A:$F,6,FALSE)</f>
        <v>For Rent</v>
      </c>
      <c r="L278" s="9">
        <f t="shared" si="4"/>
        <v>2</v>
      </c>
    </row>
    <row r="279" spans="1:12" ht="15" thickBot="1">
      <c r="A279" s="31">
        <v>4034402</v>
      </c>
      <c r="B279" s="35">
        <v>377</v>
      </c>
      <c r="C279" s="35" t="s">
        <v>153</v>
      </c>
      <c r="D279" s="35">
        <v>3</v>
      </c>
      <c r="E279" s="35">
        <v>2</v>
      </c>
      <c r="F279" s="36">
        <v>43558</v>
      </c>
      <c r="G279" s="9">
        <f>VLOOKUP(A279,Sheet9!$A:$F,2,FALSE)</f>
        <v>12500000</v>
      </c>
      <c r="H279" s="9" t="str">
        <f>VLOOKUP(A279,Sheet9!$A:$F,3,FALSE )</f>
        <v>Samanabad</v>
      </c>
      <c r="I279" s="9" t="str">
        <f>VLOOKUP(A279,Sheet9!$A:$F,4,FALSE)</f>
        <v>Lahore</v>
      </c>
      <c r="J279" s="9" t="str">
        <f>VLOOKUP(A279,Sheet9!$A:$F,5,FALSE)</f>
        <v>Punjab</v>
      </c>
      <c r="K279" s="9" t="str">
        <f>VLOOKUP(A279,Sheet9!$A:$F,6,FALSE)</f>
        <v>For Sale</v>
      </c>
      <c r="L279" s="9">
        <f t="shared" si="4"/>
        <v>2</v>
      </c>
    </row>
    <row r="280" spans="1:12" ht="15" thickBot="1">
      <c r="A280" s="31">
        <v>4047643</v>
      </c>
      <c r="B280" s="35">
        <v>9035</v>
      </c>
      <c r="C280" s="35" t="s">
        <v>154</v>
      </c>
      <c r="D280" s="35">
        <v>1</v>
      </c>
      <c r="E280" s="35">
        <v>1</v>
      </c>
      <c r="F280" s="36">
        <v>43662</v>
      </c>
      <c r="G280" s="9">
        <f>VLOOKUP(A280,Sheet9!$A:$F,2,FALSE)</f>
        <v>3000000</v>
      </c>
      <c r="H280" s="9" t="str">
        <f>VLOOKUP(A280,Sheet9!$A:$F,3,FALSE )</f>
        <v>Bahria Town Rawalpindi</v>
      </c>
      <c r="I280" s="9" t="str">
        <f>VLOOKUP(A280,Sheet9!$A:$F,4,FALSE)</f>
        <v>Rawalpindi</v>
      </c>
      <c r="J280" s="9" t="str">
        <f>VLOOKUP(A280,Sheet9!$A:$F,5,FALSE)</f>
        <v>Punjab</v>
      </c>
      <c r="K280" s="9" t="str">
        <f>VLOOKUP(A280,Sheet9!$A:$F,6,FALSE)</f>
        <v>For Sale</v>
      </c>
      <c r="L280" s="9">
        <f t="shared" si="4"/>
        <v>2</v>
      </c>
    </row>
    <row r="281" spans="1:12" ht="15" thickBot="1">
      <c r="A281" s="31">
        <v>4100382</v>
      </c>
      <c r="B281" s="35">
        <v>10542</v>
      </c>
      <c r="C281" s="35" t="s">
        <v>153</v>
      </c>
      <c r="D281" s="35">
        <v>5</v>
      </c>
      <c r="E281" s="35">
        <v>4</v>
      </c>
      <c r="F281" s="36">
        <v>43634</v>
      </c>
      <c r="G281" s="9">
        <f>VLOOKUP(A281,Sheet9!$A:$F,2,FALSE)</f>
        <v>36000000</v>
      </c>
      <c r="H281" s="9" t="str">
        <f>VLOOKUP(A281,Sheet9!$A:$F,3,FALSE )</f>
        <v>Askari</v>
      </c>
      <c r="I281" s="9" t="str">
        <f>VLOOKUP(A281,Sheet9!$A:$F,4,FALSE)</f>
        <v>Lahore</v>
      </c>
      <c r="J281" s="9" t="str">
        <f>VLOOKUP(A281,Sheet9!$A:$F,5,FALSE)</f>
        <v>Punjab</v>
      </c>
      <c r="K281" s="9" t="str">
        <f>VLOOKUP(A281,Sheet9!$A:$F,6,FALSE)</f>
        <v>For Sale</v>
      </c>
      <c r="L281" s="9">
        <f t="shared" si="4"/>
        <v>2</v>
      </c>
    </row>
    <row r="282" spans="1:12" ht="15" thickBot="1">
      <c r="A282" s="31">
        <v>4107715</v>
      </c>
      <c r="B282" s="35">
        <v>1448</v>
      </c>
      <c r="C282" s="35" t="s">
        <v>153</v>
      </c>
      <c r="D282" s="35">
        <v>6</v>
      </c>
      <c r="E282" s="35">
        <v>5</v>
      </c>
      <c r="F282" s="36">
        <v>43641</v>
      </c>
      <c r="G282" s="9">
        <f>VLOOKUP(A282,Sheet9!$A:$F,2,FALSE)</f>
        <v>36000000</v>
      </c>
      <c r="H282" s="9" t="str">
        <f>VLOOKUP(A282,Sheet9!$A:$F,3,FALSE )</f>
        <v>DHA Defence</v>
      </c>
      <c r="I282" s="9" t="str">
        <f>VLOOKUP(A282,Sheet9!$A:$F,4,FALSE)</f>
        <v>Lahore</v>
      </c>
      <c r="J282" s="9" t="str">
        <f>VLOOKUP(A282,Sheet9!$A:$F,5,FALSE)</f>
        <v>Punjab</v>
      </c>
      <c r="K282" s="9" t="str">
        <f>VLOOKUP(A282,Sheet9!$A:$F,6,FALSE)</f>
        <v>For Sale</v>
      </c>
      <c r="L282" s="9">
        <f t="shared" si="4"/>
        <v>2</v>
      </c>
    </row>
    <row r="283" spans="1:12" ht="15" thickBot="1">
      <c r="A283" s="31">
        <v>4111694</v>
      </c>
      <c r="B283" s="35">
        <v>1598</v>
      </c>
      <c r="C283" s="35" t="s">
        <v>153</v>
      </c>
      <c r="D283" s="35">
        <v>6</v>
      </c>
      <c r="E283" s="35">
        <v>5</v>
      </c>
      <c r="F283" s="36">
        <v>43641</v>
      </c>
      <c r="G283" s="9">
        <f>VLOOKUP(A283,Sheet9!$A:$F,2,FALSE)</f>
        <v>51000000</v>
      </c>
      <c r="H283" s="9" t="str">
        <f>VLOOKUP(A283,Sheet9!$A:$F,3,FALSE )</f>
        <v>DHA Defence</v>
      </c>
      <c r="I283" s="9" t="str">
        <f>VLOOKUP(A283,Sheet9!$A:$F,4,FALSE)</f>
        <v>Lahore</v>
      </c>
      <c r="J283" s="9" t="str">
        <f>VLOOKUP(A283,Sheet9!$A:$F,5,FALSE)</f>
        <v>Punjab</v>
      </c>
      <c r="K283" s="9" t="str">
        <f>VLOOKUP(A283,Sheet9!$A:$F,6,FALSE)</f>
        <v>For Sale</v>
      </c>
      <c r="L283" s="9">
        <f t="shared" si="4"/>
        <v>2</v>
      </c>
    </row>
    <row r="284" spans="1:12" ht="15" thickBot="1">
      <c r="A284" s="31">
        <v>4125085</v>
      </c>
      <c r="B284" s="35">
        <v>3041</v>
      </c>
      <c r="C284" s="35" t="s">
        <v>153</v>
      </c>
      <c r="D284" s="35">
        <v>6</v>
      </c>
      <c r="E284" s="35">
        <v>5</v>
      </c>
      <c r="F284" s="36">
        <v>43649</v>
      </c>
      <c r="G284" s="9">
        <f>VLOOKUP(A284,Sheet9!$A:$F,2,FALSE)</f>
        <v>21000000</v>
      </c>
      <c r="H284" s="9" t="str">
        <f>VLOOKUP(A284,Sheet9!$A:$F,3,FALSE )</f>
        <v>Bahria Town Rawalpindi</v>
      </c>
      <c r="I284" s="9" t="str">
        <f>VLOOKUP(A284,Sheet9!$A:$F,4,FALSE)</f>
        <v>Rawalpindi</v>
      </c>
      <c r="J284" s="9" t="str">
        <f>VLOOKUP(A284,Sheet9!$A:$F,5,FALSE)</f>
        <v>Punjab</v>
      </c>
      <c r="K284" s="9" t="str">
        <f>VLOOKUP(A284,Sheet9!$A:$F,6,FALSE)</f>
        <v>For Sale</v>
      </c>
      <c r="L284" s="9">
        <f t="shared" si="4"/>
        <v>2</v>
      </c>
    </row>
    <row r="285" spans="1:12" ht="15" thickBot="1">
      <c r="A285" s="31">
        <v>4153362</v>
      </c>
      <c r="B285" s="35">
        <v>438</v>
      </c>
      <c r="C285" s="35" t="s">
        <v>153</v>
      </c>
      <c r="D285" s="35">
        <v>10</v>
      </c>
      <c r="E285" s="35">
        <v>10</v>
      </c>
      <c r="F285" s="36">
        <v>43560</v>
      </c>
      <c r="G285" s="9">
        <f>VLOOKUP(A285,Sheet9!$A:$F,2,FALSE)</f>
        <v>35000000</v>
      </c>
      <c r="H285" s="9" t="str">
        <f>VLOOKUP(A285,Sheet9!$A:$F,3,FALSE )</f>
        <v>Gulraiz Housing Scheme</v>
      </c>
      <c r="I285" s="9" t="str">
        <f>VLOOKUP(A285,Sheet9!$A:$F,4,FALSE)</f>
        <v>Rawalpindi</v>
      </c>
      <c r="J285" s="9" t="str">
        <f>VLOOKUP(A285,Sheet9!$A:$F,5,FALSE)</f>
        <v>Punjab</v>
      </c>
      <c r="K285" s="9" t="str">
        <f>VLOOKUP(A285,Sheet9!$A:$F,6,FALSE)</f>
        <v>For Sale</v>
      </c>
      <c r="L285" s="9">
        <f t="shared" si="4"/>
        <v>2</v>
      </c>
    </row>
    <row r="286" spans="1:12" ht="15" thickBot="1">
      <c r="A286" s="31">
        <v>4153988</v>
      </c>
      <c r="B286" s="35">
        <v>1789</v>
      </c>
      <c r="C286" s="35" t="s">
        <v>153</v>
      </c>
      <c r="D286" s="35">
        <v>7</v>
      </c>
      <c r="E286" s="35">
        <v>5</v>
      </c>
      <c r="F286" s="36">
        <v>43409</v>
      </c>
      <c r="G286" s="9">
        <f>VLOOKUP(A286,Sheet9!$A:$F,2,FALSE)</f>
        <v>20000000</v>
      </c>
      <c r="H286" s="9" t="str">
        <f>VLOOKUP(A286,Sheet9!$A:$F,3,FALSE )</f>
        <v>Bahria Town</v>
      </c>
      <c r="I286" s="9" t="str">
        <f>VLOOKUP(A286,Sheet9!$A:$F,4,FALSE)</f>
        <v>Lahore</v>
      </c>
      <c r="J286" s="9" t="str">
        <f>VLOOKUP(A286,Sheet9!$A:$F,5,FALSE)</f>
        <v>Punjab</v>
      </c>
      <c r="K286" s="9" t="str">
        <f>VLOOKUP(A286,Sheet9!$A:$F,6,FALSE)</f>
        <v>For Sale</v>
      </c>
      <c r="L286" s="9">
        <f t="shared" si="4"/>
        <v>2</v>
      </c>
    </row>
    <row r="287" spans="1:12" ht="15" thickBot="1">
      <c r="A287" s="31">
        <v>4154431</v>
      </c>
      <c r="B287" s="35">
        <v>6869</v>
      </c>
      <c r="C287" s="35" t="s">
        <v>153</v>
      </c>
      <c r="D287" s="35">
        <v>6</v>
      </c>
      <c r="E287" s="35">
        <v>4</v>
      </c>
      <c r="F287" s="36">
        <v>43513</v>
      </c>
      <c r="G287" s="9">
        <f>VLOOKUP(A287,Sheet9!$A:$F,2,FALSE)</f>
        <v>250000000</v>
      </c>
      <c r="H287" s="9" t="str">
        <f>VLOOKUP(A287,Sheet9!$A:$F,3,FALSE )</f>
        <v>Gulshan-e-Iqbal Town</v>
      </c>
      <c r="I287" s="9" t="str">
        <f>VLOOKUP(A287,Sheet9!$A:$F,4,FALSE)</f>
        <v>Karachi</v>
      </c>
      <c r="J287" s="9" t="str">
        <f>VLOOKUP(A287,Sheet9!$A:$F,5,FALSE)</f>
        <v>Sindh</v>
      </c>
      <c r="K287" s="9" t="str">
        <f>VLOOKUP(A287,Sheet9!$A:$F,6,FALSE)</f>
        <v>For Sale</v>
      </c>
      <c r="L287" s="9">
        <f t="shared" si="4"/>
        <v>1</v>
      </c>
    </row>
    <row r="288" spans="1:12" ht="15" thickBot="1">
      <c r="A288" s="31">
        <v>4154441</v>
      </c>
      <c r="B288" s="35">
        <v>6870</v>
      </c>
      <c r="C288" s="35" t="s">
        <v>153</v>
      </c>
      <c r="D288" s="35">
        <v>3</v>
      </c>
      <c r="E288" s="35">
        <v>5</v>
      </c>
      <c r="F288" s="36">
        <v>43513</v>
      </c>
      <c r="G288" s="9">
        <f>VLOOKUP(A288,Sheet9!$A:$F,2,FALSE)</f>
        <v>55000000</v>
      </c>
      <c r="H288" s="9" t="str">
        <f>VLOOKUP(A288,Sheet9!$A:$F,3,FALSE )</f>
        <v>Gulshan-e-Iqbal Town</v>
      </c>
      <c r="I288" s="9" t="str">
        <f>VLOOKUP(A288,Sheet9!$A:$F,4,FALSE)</f>
        <v>Karachi</v>
      </c>
      <c r="J288" s="9" t="str">
        <f>VLOOKUP(A288,Sheet9!$A:$F,5,FALSE)</f>
        <v>Sindh</v>
      </c>
      <c r="K288" s="9" t="str">
        <f>VLOOKUP(A288,Sheet9!$A:$F,6,FALSE)</f>
        <v>For Sale</v>
      </c>
      <c r="L288" s="9">
        <f t="shared" si="4"/>
        <v>1</v>
      </c>
    </row>
    <row r="289" spans="1:12" ht="15" thickBot="1">
      <c r="A289" s="31">
        <v>4159826</v>
      </c>
      <c r="B289" s="35">
        <v>3527</v>
      </c>
      <c r="C289" s="35" t="s">
        <v>153</v>
      </c>
      <c r="D289" s="35">
        <v>2</v>
      </c>
      <c r="E289" s="35">
        <v>3</v>
      </c>
      <c r="F289" s="36">
        <v>43499</v>
      </c>
      <c r="G289" s="9">
        <f>VLOOKUP(A289,Sheet9!$A:$F,2,FALSE)</f>
        <v>6000000</v>
      </c>
      <c r="H289" s="9" t="str">
        <f>VLOOKUP(A289,Sheet9!$A:$F,3,FALSE )</f>
        <v>Allama Iqbal Town</v>
      </c>
      <c r="I289" s="9" t="str">
        <f>VLOOKUP(A289,Sheet9!$A:$F,4,FALSE)</f>
        <v>Lahore</v>
      </c>
      <c r="J289" s="9" t="str">
        <f>VLOOKUP(A289,Sheet9!$A:$F,5,FALSE)</f>
        <v>Punjab</v>
      </c>
      <c r="K289" s="9" t="str">
        <f>VLOOKUP(A289,Sheet9!$A:$F,6,FALSE)</f>
        <v>For Sale</v>
      </c>
      <c r="L289" s="9">
        <f t="shared" si="4"/>
        <v>2</v>
      </c>
    </row>
    <row r="290" spans="1:12" ht="15" thickBot="1">
      <c r="A290" s="31">
        <v>4165171</v>
      </c>
      <c r="B290" s="35">
        <v>335</v>
      </c>
      <c r="C290" s="35" t="s">
        <v>154</v>
      </c>
      <c r="D290" s="35">
        <v>2</v>
      </c>
      <c r="E290" s="35">
        <v>2</v>
      </c>
      <c r="F290" s="36">
        <v>43650</v>
      </c>
      <c r="G290" s="9">
        <f>VLOOKUP(A290,Sheet9!$A:$F,2,FALSE)</f>
        <v>3200000</v>
      </c>
      <c r="H290" s="9" t="str">
        <f>VLOOKUP(A290,Sheet9!$A:$F,3,FALSE )</f>
        <v>F-17</v>
      </c>
      <c r="I290" s="9" t="str">
        <f>VLOOKUP(A290,Sheet9!$A:$F,4,FALSE)</f>
        <v>Islamabad</v>
      </c>
      <c r="J290" s="9" t="str">
        <f>VLOOKUP(A290,Sheet9!$A:$F,5,FALSE)</f>
        <v>Islamabad Capital</v>
      </c>
      <c r="K290" s="9" t="str">
        <f>VLOOKUP(A290,Sheet9!$A:$F,6,FALSE)</f>
        <v>For Sale</v>
      </c>
      <c r="L290" s="9">
        <f t="shared" si="4"/>
        <v>3</v>
      </c>
    </row>
    <row r="291" spans="1:12" ht="15" thickBot="1">
      <c r="A291" s="31">
        <v>4170552</v>
      </c>
      <c r="B291" s="35">
        <v>3527</v>
      </c>
      <c r="C291" s="35" t="s">
        <v>153</v>
      </c>
      <c r="D291" s="35">
        <v>2</v>
      </c>
      <c r="E291" s="35">
        <v>3</v>
      </c>
      <c r="F291" s="36">
        <v>43559</v>
      </c>
      <c r="G291" s="9">
        <f>VLOOKUP(A291,Sheet9!$A:$F,2,FALSE)</f>
        <v>5500000</v>
      </c>
      <c r="H291" s="9" t="str">
        <f>VLOOKUP(A291,Sheet9!$A:$F,3,FALSE )</f>
        <v>Allama Iqbal Town</v>
      </c>
      <c r="I291" s="9" t="str">
        <f>VLOOKUP(A291,Sheet9!$A:$F,4,FALSE)</f>
        <v>Lahore</v>
      </c>
      <c r="J291" s="9" t="str">
        <f>VLOOKUP(A291,Sheet9!$A:$F,5,FALSE)</f>
        <v>Punjab</v>
      </c>
      <c r="K291" s="9" t="str">
        <f>VLOOKUP(A291,Sheet9!$A:$F,6,FALSE)</f>
        <v>For Sale</v>
      </c>
      <c r="L291" s="9">
        <f t="shared" si="4"/>
        <v>2</v>
      </c>
    </row>
    <row r="292" spans="1:12" ht="15" thickBot="1">
      <c r="A292" s="31">
        <v>4202426</v>
      </c>
      <c r="B292" s="35">
        <v>1504</v>
      </c>
      <c r="C292" s="35" t="s">
        <v>153</v>
      </c>
      <c r="D292" s="35">
        <v>4</v>
      </c>
      <c r="E292" s="35">
        <v>3</v>
      </c>
      <c r="F292" s="36">
        <v>43650</v>
      </c>
      <c r="G292" s="9">
        <f>VLOOKUP(A292,Sheet9!$A:$F,2,FALSE)</f>
        <v>47000</v>
      </c>
      <c r="H292" s="9" t="str">
        <f>VLOOKUP(A292,Sheet9!$A:$F,3,FALSE )</f>
        <v>Askari 14</v>
      </c>
      <c r="I292" s="9" t="str">
        <f>VLOOKUP(A292,Sheet9!$A:$F,4,FALSE)</f>
        <v>Rawalpindi</v>
      </c>
      <c r="J292" s="9" t="str">
        <f>VLOOKUP(A292,Sheet9!$A:$F,5,FALSE)</f>
        <v>Punjab</v>
      </c>
      <c r="K292" s="9" t="str">
        <f>VLOOKUP(A292,Sheet9!$A:$F,6,FALSE)</f>
        <v>For Rent</v>
      </c>
      <c r="L292" s="9">
        <f t="shared" si="4"/>
        <v>2</v>
      </c>
    </row>
    <row r="293" spans="1:12" ht="15" thickBot="1">
      <c r="A293" s="31">
        <v>4202428</v>
      </c>
      <c r="B293" s="35">
        <v>1270</v>
      </c>
      <c r="C293" s="35" t="s">
        <v>153</v>
      </c>
      <c r="D293" s="35">
        <v>4</v>
      </c>
      <c r="E293" s="35">
        <v>3</v>
      </c>
      <c r="F293" s="36">
        <v>43644</v>
      </c>
      <c r="G293" s="9">
        <f>VLOOKUP(A293,Sheet9!$A:$F,2,FALSE)</f>
        <v>55000</v>
      </c>
      <c r="H293" s="9" t="str">
        <f>VLOOKUP(A293,Sheet9!$A:$F,3,FALSE )</f>
        <v>Askari 7</v>
      </c>
      <c r="I293" s="9" t="str">
        <f>VLOOKUP(A293,Sheet9!$A:$F,4,FALSE)</f>
        <v>Rawalpindi</v>
      </c>
      <c r="J293" s="9" t="str">
        <f>VLOOKUP(A293,Sheet9!$A:$F,5,FALSE)</f>
        <v>Punjab</v>
      </c>
      <c r="K293" s="9" t="str">
        <f>VLOOKUP(A293,Sheet9!$A:$F,6,FALSE)</f>
        <v>For Rent</v>
      </c>
      <c r="L293" s="9">
        <f t="shared" si="4"/>
        <v>2</v>
      </c>
    </row>
    <row r="294" spans="1:12" ht="15" thickBot="1">
      <c r="A294" s="31">
        <v>4202429</v>
      </c>
      <c r="B294" s="35">
        <v>1504</v>
      </c>
      <c r="C294" s="35" t="s">
        <v>154</v>
      </c>
      <c r="D294" s="35">
        <v>0</v>
      </c>
      <c r="E294" s="35">
        <v>3</v>
      </c>
      <c r="F294" s="36">
        <v>43649</v>
      </c>
      <c r="G294" s="9">
        <f>VLOOKUP(A294,Sheet9!$A:$F,2,FALSE)</f>
        <v>35000</v>
      </c>
      <c r="H294" s="9" t="str">
        <f>VLOOKUP(A294,Sheet9!$A:$F,3,FALSE )</f>
        <v>Askari 14</v>
      </c>
      <c r="I294" s="9" t="str">
        <f>VLOOKUP(A294,Sheet9!$A:$F,4,FALSE)</f>
        <v>Rawalpindi</v>
      </c>
      <c r="J294" s="9" t="str">
        <f>VLOOKUP(A294,Sheet9!$A:$F,5,FALSE)</f>
        <v>Punjab</v>
      </c>
      <c r="K294" s="9" t="str">
        <f>VLOOKUP(A294,Sheet9!$A:$F,6,FALSE)</f>
        <v>For Rent</v>
      </c>
      <c r="L294" s="9">
        <f t="shared" si="4"/>
        <v>2</v>
      </c>
    </row>
    <row r="295" spans="1:12" ht="15" thickBot="1">
      <c r="A295" s="31">
        <v>4217073</v>
      </c>
      <c r="B295" s="35">
        <v>8298</v>
      </c>
      <c r="C295" s="35" t="s">
        <v>154</v>
      </c>
      <c r="D295" s="35">
        <v>2</v>
      </c>
      <c r="E295" s="35">
        <v>0</v>
      </c>
      <c r="F295" s="36">
        <v>43630</v>
      </c>
      <c r="G295" s="9">
        <f>VLOOKUP(A295,Sheet9!$A:$F,2,FALSE)</f>
        <v>6000000</v>
      </c>
      <c r="H295" s="9" t="str">
        <f>VLOOKUP(A295,Sheet9!$A:$F,3,FALSE )</f>
        <v>Bahria Town Karachi</v>
      </c>
      <c r="I295" s="9" t="str">
        <f>VLOOKUP(A295,Sheet9!$A:$F,4,FALSE)</f>
        <v>Karachi</v>
      </c>
      <c r="J295" s="9" t="str">
        <f>VLOOKUP(A295,Sheet9!$A:$F,5,FALSE)</f>
        <v>Sindh</v>
      </c>
      <c r="K295" s="9" t="str">
        <f>VLOOKUP(A295,Sheet9!$A:$F,6,FALSE)</f>
        <v>For Sale</v>
      </c>
      <c r="L295" s="9">
        <f t="shared" si="4"/>
        <v>1</v>
      </c>
    </row>
    <row r="296" spans="1:12" ht="15" thickBot="1">
      <c r="A296" s="31">
        <v>4227904</v>
      </c>
      <c r="B296" s="35">
        <v>335</v>
      </c>
      <c r="C296" s="35" t="s">
        <v>153</v>
      </c>
      <c r="D296" s="35">
        <v>6</v>
      </c>
      <c r="E296" s="35">
        <v>4</v>
      </c>
      <c r="F296" s="36">
        <v>43643</v>
      </c>
      <c r="G296" s="9">
        <f>VLOOKUP(A296,Sheet9!$A:$F,2,FALSE)</f>
        <v>14000000</v>
      </c>
      <c r="H296" s="9" t="str">
        <f>VLOOKUP(A296,Sheet9!$A:$F,3,FALSE )</f>
        <v>F-17</v>
      </c>
      <c r="I296" s="9" t="str">
        <f>VLOOKUP(A296,Sheet9!$A:$F,4,FALSE)</f>
        <v>Islamabad</v>
      </c>
      <c r="J296" s="9" t="str">
        <f>VLOOKUP(A296,Sheet9!$A:$F,5,FALSE)</f>
        <v>Islamabad Capital</v>
      </c>
      <c r="K296" s="9" t="str">
        <f>VLOOKUP(A296,Sheet9!$A:$F,6,FALSE)</f>
        <v>For Sale</v>
      </c>
      <c r="L296" s="9">
        <f t="shared" si="4"/>
        <v>3</v>
      </c>
    </row>
    <row r="297" spans="1:12" ht="15" thickBot="1">
      <c r="A297" s="31">
        <v>4241223</v>
      </c>
      <c r="B297" s="35">
        <v>8298</v>
      </c>
      <c r="C297" s="35" t="s">
        <v>154</v>
      </c>
      <c r="D297" s="35">
        <v>0</v>
      </c>
      <c r="E297" s="35">
        <v>2</v>
      </c>
      <c r="F297" s="36">
        <v>43630</v>
      </c>
      <c r="G297" s="9">
        <f>VLOOKUP(A297,Sheet9!$A:$F,2,FALSE)</f>
        <v>6200000</v>
      </c>
      <c r="H297" s="9" t="str">
        <f>VLOOKUP(A297,Sheet9!$A:$F,3,FALSE )</f>
        <v>Bahria Town Karachi</v>
      </c>
      <c r="I297" s="9" t="str">
        <f>VLOOKUP(A297,Sheet9!$A:$F,4,FALSE)</f>
        <v>Karachi</v>
      </c>
      <c r="J297" s="9" t="str">
        <f>VLOOKUP(A297,Sheet9!$A:$F,5,FALSE)</f>
        <v>Sindh</v>
      </c>
      <c r="K297" s="9" t="str">
        <f>VLOOKUP(A297,Sheet9!$A:$F,6,FALSE)</f>
        <v>For Sale</v>
      </c>
      <c r="L297" s="9">
        <f t="shared" si="4"/>
        <v>1</v>
      </c>
    </row>
    <row r="298" spans="1:12" ht="15" thickBot="1">
      <c r="A298" s="31">
        <v>4246235</v>
      </c>
      <c r="B298" s="35">
        <v>9586</v>
      </c>
      <c r="C298" s="35" t="s">
        <v>153</v>
      </c>
      <c r="D298" s="35">
        <v>6</v>
      </c>
      <c r="E298" s="35">
        <v>7</v>
      </c>
      <c r="F298" s="36">
        <v>43650</v>
      </c>
      <c r="G298" s="9">
        <f>VLOOKUP(A298,Sheet9!$A:$F,2,FALSE)</f>
        <v>95000000</v>
      </c>
      <c r="H298" s="9" t="str">
        <f>VLOOKUP(A298,Sheet9!$A:$F,3,FALSE )</f>
        <v>Cantt</v>
      </c>
      <c r="I298" s="9" t="str">
        <f>VLOOKUP(A298,Sheet9!$A:$F,4,FALSE)</f>
        <v>Karachi</v>
      </c>
      <c r="J298" s="9" t="str">
        <f>VLOOKUP(A298,Sheet9!$A:$F,5,FALSE)</f>
        <v>Sindh</v>
      </c>
      <c r="K298" s="9" t="str">
        <f>VLOOKUP(A298,Sheet9!$A:$F,6,FALSE)</f>
        <v>For Sale</v>
      </c>
      <c r="L298" s="9">
        <f t="shared" si="4"/>
        <v>1</v>
      </c>
    </row>
    <row r="299" spans="1:12" ht="15" thickBot="1">
      <c r="A299" s="31">
        <v>4249571</v>
      </c>
      <c r="B299" s="35">
        <v>3847</v>
      </c>
      <c r="C299" s="35" t="s">
        <v>153</v>
      </c>
      <c r="D299" s="35">
        <v>0</v>
      </c>
      <c r="E299" s="35">
        <v>0</v>
      </c>
      <c r="F299" s="36">
        <v>43558</v>
      </c>
      <c r="G299" s="9">
        <f>VLOOKUP(A299,Sheet9!$A:$F,2,FALSE)</f>
        <v>65000000</v>
      </c>
      <c r="H299" s="9" t="str">
        <f>VLOOKUP(A299,Sheet9!$A:$F,3,FALSE )</f>
        <v>Gulberg</v>
      </c>
      <c r="I299" s="9" t="str">
        <f>VLOOKUP(A299,Sheet9!$A:$F,4,FALSE)</f>
        <v>Lahore</v>
      </c>
      <c r="J299" s="9" t="str">
        <f>VLOOKUP(A299,Sheet9!$A:$F,5,FALSE)</f>
        <v>Punjab</v>
      </c>
      <c r="K299" s="9" t="str">
        <f>VLOOKUP(A299,Sheet9!$A:$F,6,FALSE)</f>
        <v>For Sale</v>
      </c>
      <c r="L299" s="9">
        <f t="shared" si="4"/>
        <v>2</v>
      </c>
    </row>
    <row r="300" spans="1:12" ht="15" thickBot="1">
      <c r="A300" s="31">
        <v>4263606</v>
      </c>
      <c r="B300" s="35">
        <v>10011</v>
      </c>
      <c r="C300" s="35" t="s">
        <v>153</v>
      </c>
      <c r="D300" s="35">
        <v>3</v>
      </c>
      <c r="E300" s="35">
        <v>3</v>
      </c>
      <c r="F300" s="36">
        <v>43561</v>
      </c>
      <c r="G300" s="9">
        <f>VLOOKUP(A300,Sheet9!$A:$F,2,FALSE)</f>
        <v>20000000</v>
      </c>
      <c r="H300" s="9" t="str">
        <f>VLOOKUP(A300,Sheet9!$A:$F,3,FALSE )</f>
        <v>Bahria Town Karachi</v>
      </c>
      <c r="I300" s="9" t="str">
        <f>VLOOKUP(A300,Sheet9!$A:$F,4,FALSE)</f>
        <v>Karachi</v>
      </c>
      <c r="J300" s="9" t="str">
        <f>VLOOKUP(A300,Sheet9!$A:$F,5,FALSE)</f>
        <v>Sindh</v>
      </c>
      <c r="K300" s="9" t="str">
        <f>VLOOKUP(A300,Sheet9!$A:$F,6,FALSE)</f>
        <v>For Sale</v>
      </c>
      <c r="L300" s="9">
        <f t="shared" si="4"/>
        <v>1</v>
      </c>
    </row>
    <row r="301" spans="1:12" ht="15" thickBot="1">
      <c r="A301" s="31">
        <v>4265420</v>
      </c>
      <c r="B301" s="35">
        <v>163</v>
      </c>
      <c r="C301" s="35" t="s">
        <v>153</v>
      </c>
      <c r="D301" s="35">
        <v>8</v>
      </c>
      <c r="E301" s="35">
        <v>8</v>
      </c>
      <c r="F301" s="36">
        <v>43657</v>
      </c>
      <c r="G301" s="9">
        <f>VLOOKUP(A301,Sheet9!$A:$F,2,FALSE)</f>
        <v>250000</v>
      </c>
      <c r="H301" s="9" t="str">
        <f>VLOOKUP(A301,Sheet9!$A:$F,3,FALSE )</f>
        <v>F-11</v>
      </c>
      <c r="I301" s="9" t="str">
        <f>VLOOKUP(A301,Sheet9!$A:$F,4,FALSE)</f>
        <v>Islamabad</v>
      </c>
      <c r="J301" s="9" t="str">
        <f>VLOOKUP(A301,Sheet9!$A:$F,5,FALSE)</f>
        <v>Islamabad Capital</v>
      </c>
      <c r="K301" s="9" t="str">
        <f>VLOOKUP(A301,Sheet9!$A:$F,6,FALSE)</f>
        <v>For Rent</v>
      </c>
      <c r="L301" s="9">
        <f t="shared" si="4"/>
        <v>3</v>
      </c>
    </row>
    <row r="302" spans="1:12" ht="15" thickBot="1">
      <c r="A302" s="31">
        <v>4270961</v>
      </c>
      <c r="B302" s="35">
        <v>162</v>
      </c>
      <c r="C302" s="35" t="s">
        <v>153</v>
      </c>
      <c r="D302" s="35">
        <v>6</v>
      </c>
      <c r="E302" s="35">
        <v>6</v>
      </c>
      <c r="F302" s="36">
        <v>43657</v>
      </c>
      <c r="G302" s="9">
        <f>VLOOKUP(A302,Sheet9!$A:$F,2,FALSE)</f>
        <v>220000</v>
      </c>
      <c r="H302" s="9" t="str">
        <f>VLOOKUP(A302,Sheet9!$A:$F,3,FALSE )</f>
        <v>F-10</v>
      </c>
      <c r="I302" s="9" t="str">
        <f>VLOOKUP(A302,Sheet9!$A:$F,4,FALSE)</f>
        <v>Islamabad</v>
      </c>
      <c r="J302" s="9" t="str">
        <f>VLOOKUP(A302,Sheet9!$A:$F,5,FALSE)</f>
        <v>Islamabad Capital</v>
      </c>
      <c r="K302" s="9" t="str">
        <f>VLOOKUP(A302,Sheet9!$A:$F,6,FALSE)</f>
        <v>For Rent</v>
      </c>
      <c r="L302" s="9">
        <f t="shared" si="4"/>
        <v>3</v>
      </c>
    </row>
    <row r="303" spans="1:12" ht="29.5" thickBot="1">
      <c r="A303" s="31">
        <v>4273721</v>
      </c>
      <c r="B303" s="35">
        <v>1705</v>
      </c>
      <c r="C303" s="35" t="s">
        <v>155</v>
      </c>
      <c r="D303" s="35">
        <v>3</v>
      </c>
      <c r="E303" s="35">
        <v>3</v>
      </c>
      <c r="F303" s="36">
        <v>43648</v>
      </c>
      <c r="G303" s="9">
        <f>VLOOKUP(A303,Sheet9!$A:$F,2,FALSE)</f>
        <v>40000</v>
      </c>
      <c r="H303" s="9" t="str">
        <f>VLOOKUP(A303,Sheet9!$A:$F,3,FALSE )</f>
        <v>Bahria Town</v>
      </c>
      <c r="I303" s="9" t="str">
        <f>VLOOKUP(A303,Sheet9!$A:$F,4,FALSE)</f>
        <v>Islamabad</v>
      </c>
      <c r="J303" s="9" t="str">
        <f>VLOOKUP(A303,Sheet9!$A:$F,5,FALSE)</f>
        <v>Islamabad Capital</v>
      </c>
      <c r="K303" s="9" t="str">
        <f>VLOOKUP(A303,Sheet9!$A:$F,6,FALSE)</f>
        <v>For Rent</v>
      </c>
      <c r="L303" s="9">
        <f t="shared" si="4"/>
        <v>3</v>
      </c>
    </row>
    <row r="304" spans="1:12" ht="29.5" thickBot="1">
      <c r="A304" s="31">
        <v>4295448</v>
      </c>
      <c r="B304" s="35">
        <v>3279</v>
      </c>
      <c r="C304" s="35" t="s">
        <v>155</v>
      </c>
      <c r="D304" s="35">
        <v>3</v>
      </c>
      <c r="E304" s="35">
        <v>3</v>
      </c>
      <c r="F304" s="36">
        <v>43657</v>
      </c>
      <c r="G304" s="9">
        <f>VLOOKUP(A304,Sheet9!$A:$F,2,FALSE)</f>
        <v>80000</v>
      </c>
      <c r="H304" s="9" t="str">
        <f>VLOOKUP(A304,Sheet9!$A:$F,3,FALSE )</f>
        <v>F-10</v>
      </c>
      <c r="I304" s="9" t="str">
        <f>VLOOKUP(A304,Sheet9!$A:$F,4,FALSE)</f>
        <v>Islamabad</v>
      </c>
      <c r="J304" s="9" t="str">
        <f>VLOOKUP(A304,Sheet9!$A:$F,5,FALSE)</f>
        <v>Islamabad Capital</v>
      </c>
      <c r="K304" s="9" t="str">
        <f>VLOOKUP(A304,Sheet9!$A:$F,6,FALSE)</f>
        <v>For Rent</v>
      </c>
      <c r="L304" s="9">
        <f t="shared" si="4"/>
        <v>3</v>
      </c>
    </row>
    <row r="305" spans="1:12" ht="15" thickBot="1">
      <c r="A305" s="31">
        <v>4304977</v>
      </c>
      <c r="B305" s="35">
        <v>1446</v>
      </c>
      <c r="C305" s="35" t="s">
        <v>153</v>
      </c>
      <c r="D305" s="35">
        <v>6</v>
      </c>
      <c r="E305" s="35">
        <v>5</v>
      </c>
      <c r="F305" s="36">
        <v>43642</v>
      </c>
      <c r="G305" s="9">
        <f>VLOOKUP(A305,Sheet9!$A:$F,2,FALSE)</f>
        <v>35000000</v>
      </c>
      <c r="H305" s="9" t="str">
        <f>VLOOKUP(A305,Sheet9!$A:$F,3,FALSE )</f>
        <v>DHA Defence</v>
      </c>
      <c r="I305" s="9" t="str">
        <f>VLOOKUP(A305,Sheet9!$A:$F,4,FALSE)</f>
        <v>Lahore</v>
      </c>
      <c r="J305" s="9" t="str">
        <f>VLOOKUP(A305,Sheet9!$A:$F,5,FALSE)</f>
        <v>Punjab</v>
      </c>
      <c r="K305" s="9" t="str">
        <f>VLOOKUP(A305,Sheet9!$A:$F,6,FALSE)</f>
        <v>For Sale</v>
      </c>
      <c r="L305" s="9">
        <f t="shared" si="4"/>
        <v>2</v>
      </c>
    </row>
    <row r="306" spans="1:12" ht="15" thickBot="1">
      <c r="A306" s="31">
        <v>4307496</v>
      </c>
      <c r="B306" s="35">
        <v>1784</v>
      </c>
      <c r="C306" s="35" t="s">
        <v>153</v>
      </c>
      <c r="D306" s="35">
        <v>6</v>
      </c>
      <c r="E306" s="35">
        <v>5</v>
      </c>
      <c r="F306" s="36">
        <v>43588</v>
      </c>
      <c r="G306" s="9">
        <f>VLOOKUP(A306,Sheet9!$A:$F,2,FALSE)</f>
        <v>17500000</v>
      </c>
      <c r="H306" s="9" t="str">
        <f>VLOOKUP(A306,Sheet9!$A:$F,3,FALSE )</f>
        <v>Bahria Town</v>
      </c>
      <c r="I306" s="9" t="str">
        <f>VLOOKUP(A306,Sheet9!$A:$F,4,FALSE)</f>
        <v>Lahore</v>
      </c>
      <c r="J306" s="9" t="str">
        <f>VLOOKUP(A306,Sheet9!$A:$F,5,FALSE)</f>
        <v>Punjab</v>
      </c>
      <c r="K306" s="9" t="str">
        <f>VLOOKUP(A306,Sheet9!$A:$F,6,FALSE)</f>
        <v>For Sale</v>
      </c>
      <c r="L306" s="9">
        <f t="shared" si="4"/>
        <v>2</v>
      </c>
    </row>
    <row r="307" spans="1:12" ht="15" thickBot="1">
      <c r="A307" s="31">
        <v>4317742</v>
      </c>
      <c r="B307" s="35">
        <v>163</v>
      </c>
      <c r="C307" s="35" t="s">
        <v>153</v>
      </c>
      <c r="D307" s="35">
        <v>9</v>
      </c>
      <c r="E307" s="35">
        <v>9</v>
      </c>
      <c r="F307" s="36">
        <v>43657</v>
      </c>
      <c r="G307" s="9">
        <f>VLOOKUP(A307,Sheet9!$A:$F,2,FALSE)</f>
        <v>300000</v>
      </c>
      <c r="H307" s="9" t="str">
        <f>VLOOKUP(A307,Sheet9!$A:$F,3,FALSE )</f>
        <v>F-11</v>
      </c>
      <c r="I307" s="9" t="str">
        <f>VLOOKUP(A307,Sheet9!$A:$F,4,FALSE)</f>
        <v>Islamabad</v>
      </c>
      <c r="J307" s="9" t="str">
        <f>VLOOKUP(A307,Sheet9!$A:$F,5,FALSE)</f>
        <v>Islamabad Capital</v>
      </c>
      <c r="K307" s="9" t="str">
        <f>VLOOKUP(A307,Sheet9!$A:$F,6,FALSE)</f>
        <v>For Rent</v>
      </c>
      <c r="L307" s="9">
        <f t="shared" si="4"/>
        <v>3</v>
      </c>
    </row>
    <row r="308" spans="1:12" ht="15" thickBot="1">
      <c r="A308" s="31">
        <v>4317790</v>
      </c>
      <c r="B308" s="35">
        <v>162</v>
      </c>
      <c r="C308" s="35" t="s">
        <v>153</v>
      </c>
      <c r="D308" s="35">
        <v>7</v>
      </c>
      <c r="E308" s="35">
        <v>7</v>
      </c>
      <c r="F308" s="36">
        <v>43657</v>
      </c>
      <c r="G308" s="9">
        <f>VLOOKUP(A308,Sheet9!$A:$F,2,FALSE)</f>
        <v>160000</v>
      </c>
      <c r="H308" s="9" t="str">
        <f>VLOOKUP(A308,Sheet9!$A:$F,3,FALSE )</f>
        <v>F-10</v>
      </c>
      <c r="I308" s="9" t="str">
        <f>VLOOKUP(A308,Sheet9!$A:$F,4,FALSE)</f>
        <v>Islamabad</v>
      </c>
      <c r="J308" s="9" t="str">
        <f>VLOOKUP(A308,Sheet9!$A:$F,5,FALSE)</f>
        <v>Islamabad Capital</v>
      </c>
      <c r="K308" s="9" t="str">
        <f>VLOOKUP(A308,Sheet9!$A:$F,6,FALSE)</f>
        <v>For Rent</v>
      </c>
      <c r="L308" s="9">
        <f t="shared" si="4"/>
        <v>3</v>
      </c>
    </row>
    <row r="309" spans="1:12" ht="15" thickBot="1">
      <c r="A309" s="31">
        <v>4317806</v>
      </c>
      <c r="B309" s="35">
        <v>162</v>
      </c>
      <c r="C309" s="35" t="s">
        <v>153</v>
      </c>
      <c r="D309" s="35">
        <v>5</v>
      </c>
      <c r="E309" s="35">
        <v>5</v>
      </c>
      <c r="F309" s="36">
        <v>43657</v>
      </c>
      <c r="G309" s="9">
        <f>VLOOKUP(A309,Sheet9!$A:$F,2,FALSE)</f>
        <v>240000</v>
      </c>
      <c r="H309" s="9" t="str">
        <f>VLOOKUP(A309,Sheet9!$A:$F,3,FALSE )</f>
        <v>F-10</v>
      </c>
      <c r="I309" s="9" t="str">
        <f>VLOOKUP(A309,Sheet9!$A:$F,4,FALSE)</f>
        <v>Islamabad</v>
      </c>
      <c r="J309" s="9" t="str">
        <f>VLOOKUP(A309,Sheet9!$A:$F,5,FALSE)</f>
        <v>Islamabad Capital</v>
      </c>
      <c r="K309" s="9" t="str">
        <f>VLOOKUP(A309,Sheet9!$A:$F,6,FALSE)</f>
        <v>For Rent</v>
      </c>
      <c r="L309" s="9">
        <f t="shared" si="4"/>
        <v>3</v>
      </c>
    </row>
    <row r="310" spans="1:12" ht="15" thickBot="1">
      <c r="A310" s="31">
        <v>4317826</v>
      </c>
      <c r="B310" s="35">
        <v>162</v>
      </c>
      <c r="C310" s="35" t="s">
        <v>153</v>
      </c>
      <c r="D310" s="35">
        <v>6</v>
      </c>
      <c r="E310" s="35">
        <v>6</v>
      </c>
      <c r="F310" s="36">
        <v>43657</v>
      </c>
      <c r="G310" s="9">
        <f>VLOOKUP(A310,Sheet9!$A:$F,2,FALSE)</f>
        <v>280000</v>
      </c>
      <c r="H310" s="9" t="str">
        <f>VLOOKUP(A310,Sheet9!$A:$F,3,FALSE )</f>
        <v>F-10</v>
      </c>
      <c r="I310" s="9" t="str">
        <f>VLOOKUP(A310,Sheet9!$A:$F,4,FALSE)</f>
        <v>Islamabad</v>
      </c>
      <c r="J310" s="9" t="str">
        <f>VLOOKUP(A310,Sheet9!$A:$F,5,FALSE)</f>
        <v>Islamabad Capital</v>
      </c>
      <c r="K310" s="9" t="str">
        <f>VLOOKUP(A310,Sheet9!$A:$F,6,FALSE)</f>
        <v>For Rent</v>
      </c>
      <c r="L310" s="9">
        <f t="shared" si="4"/>
        <v>3</v>
      </c>
    </row>
    <row r="311" spans="1:12" ht="15" thickBot="1">
      <c r="A311" s="31">
        <v>4317897</v>
      </c>
      <c r="B311" s="35">
        <v>162</v>
      </c>
      <c r="C311" s="35" t="s">
        <v>153</v>
      </c>
      <c r="D311" s="35">
        <v>8</v>
      </c>
      <c r="E311" s="35">
        <v>8</v>
      </c>
      <c r="F311" s="36">
        <v>43657</v>
      </c>
      <c r="G311" s="9">
        <f>VLOOKUP(A311,Sheet9!$A:$F,2,FALSE)</f>
        <v>220000</v>
      </c>
      <c r="H311" s="9" t="str">
        <f>VLOOKUP(A311,Sheet9!$A:$F,3,FALSE )</f>
        <v>F-10</v>
      </c>
      <c r="I311" s="9" t="str">
        <f>VLOOKUP(A311,Sheet9!$A:$F,4,FALSE)</f>
        <v>Islamabad</v>
      </c>
      <c r="J311" s="9" t="str">
        <f>VLOOKUP(A311,Sheet9!$A:$F,5,FALSE)</f>
        <v>Islamabad Capital</v>
      </c>
      <c r="K311" s="9" t="str">
        <f>VLOOKUP(A311,Sheet9!$A:$F,6,FALSE)</f>
        <v>For Rent</v>
      </c>
      <c r="L311" s="9">
        <f t="shared" si="4"/>
        <v>3</v>
      </c>
    </row>
    <row r="312" spans="1:12" ht="15" thickBot="1">
      <c r="A312" s="31">
        <v>4333092</v>
      </c>
      <c r="B312" s="35">
        <v>1418</v>
      </c>
      <c r="C312" s="35" t="s">
        <v>154</v>
      </c>
      <c r="D312" s="35">
        <v>2</v>
      </c>
      <c r="E312" s="35">
        <v>2</v>
      </c>
      <c r="F312" s="36">
        <v>43500</v>
      </c>
      <c r="G312" s="9">
        <f>VLOOKUP(A312,Sheet9!$A:$F,2,FALSE)</f>
        <v>3965000</v>
      </c>
      <c r="H312" s="9" t="str">
        <f>VLOOKUP(A312,Sheet9!$A:$F,3,FALSE )</f>
        <v>I-12</v>
      </c>
      <c r="I312" s="9" t="str">
        <f>VLOOKUP(A312,Sheet9!$A:$F,4,FALSE)</f>
        <v>Islamabad</v>
      </c>
      <c r="J312" s="9" t="str">
        <f>VLOOKUP(A312,Sheet9!$A:$F,5,FALSE)</f>
        <v>Islamabad Capital</v>
      </c>
      <c r="K312" s="9" t="str">
        <f>VLOOKUP(A312,Sheet9!$A:$F,6,FALSE)</f>
        <v>For Sale</v>
      </c>
      <c r="L312" s="9">
        <f t="shared" si="4"/>
        <v>3</v>
      </c>
    </row>
    <row r="313" spans="1:12" ht="15" thickBot="1">
      <c r="A313" s="31">
        <v>4336284</v>
      </c>
      <c r="B313" s="35">
        <v>162</v>
      </c>
      <c r="C313" s="35" t="s">
        <v>153</v>
      </c>
      <c r="D313" s="35">
        <v>6</v>
      </c>
      <c r="E313" s="35">
        <v>6</v>
      </c>
      <c r="F313" s="36">
        <v>43657</v>
      </c>
      <c r="G313" s="9">
        <f>VLOOKUP(A313,Sheet9!$A:$F,2,FALSE)</f>
        <v>190000</v>
      </c>
      <c r="H313" s="9" t="str">
        <f>VLOOKUP(A313,Sheet9!$A:$F,3,FALSE )</f>
        <v>F-10</v>
      </c>
      <c r="I313" s="9" t="str">
        <f>VLOOKUP(A313,Sheet9!$A:$F,4,FALSE)</f>
        <v>Islamabad</v>
      </c>
      <c r="J313" s="9" t="str">
        <f>VLOOKUP(A313,Sheet9!$A:$F,5,FALSE)</f>
        <v>Islamabad Capital</v>
      </c>
      <c r="K313" s="9" t="str">
        <f>VLOOKUP(A313,Sheet9!$A:$F,6,FALSE)</f>
        <v>For Rent</v>
      </c>
      <c r="L313" s="9">
        <f t="shared" si="4"/>
        <v>3</v>
      </c>
    </row>
    <row r="314" spans="1:12" ht="29.5" thickBot="1">
      <c r="A314" s="31">
        <v>4336352</v>
      </c>
      <c r="B314" s="35">
        <v>163</v>
      </c>
      <c r="C314" s="35" t="s">
        <v>155</v>
      </c>
      <c r="D314" s="35">
        <v>4</v>
      </c>
      <c r="E314" s="35">
        <v>4</v>
      </c>
      <c r="F314" s="36">
        <v>43657</v>
      </c>
      <c r="G314" s="9">
        <f>VLOOKUP(A314,Sheet9!$A:$F,2,FALSE)</f>
        <v>130000</v>
      </c>
      <c r="H314" s="9" t="str">
        <f>VLOOKUP(A314,Sheet9!$A:$F,3,FALSE )</f>
        <v>F-11</v>
      </c>
      <c r="I314" s="9" t="str">
        <f>VLOOKUP(A314,Sheet9!$A:$F,4,FALSE)</f>
        <v>Islamabad</v>
      </c>
      <c r="J314" s="9" t="str">
        <f>VLOOKUP(A314,Sheet9!$A:$F,5,FALSE)</f>
        <v>Islamabad Capital</v>
      </c>
      <c r="K314" s="9" t="str">
        <f>VLOOKUP(A314,Sheet9!$A:$F,6,FALSE)</f>
        <v>For Rent</v>
      </c>
      <c r="L314" s="9">
        <f t="shared" si="4"/>
        <v>3</v>
      </c>
    </row>
    <row r="315" spans="1:12" ht="29.5" thickBot="1">
      <c r="A315" s="31">
        <v>4336361</v>
      </c>
      <c r="B315" s="35">
        <v>163</v>
      </c>
      <c r="C315" s="35" t="s">
        <v>155</v>
      </c>
      <c r="D315" s="35">
        <v>3</v>
      </c>
      <c r="E315" s="35">
        <v>3</v>
      </c>
      <c r="F315" s="36">
        <v>43657</v>
      </c>
      <c r="G315" s="9">
        <f>VLOOKUP(A315,Sheet9!$A:$F,2,FALSE)</f>
        <v>75000</v>
      </c>
      <c r="H315" s="9" t="str">
        <f>VLOOKUP(A315,Sheet9!$A:$F,3,FALSE )</f>
        <v>F-11</v>
      </c>
      <c r="I315" s="9" t="str">
        <f>VLOOKUP(A315,Sheet9!$A:$F,4,FALSE)</f>
        <v>Islamabad</v>
      </c>
      <c r="J315" s="9" t="str">
        <f>VLOOKUP(A315,Sheet9!$A:$F,5,FALSE)</f>
        <v>Islamabad Capital</v>
      </c>
      <c r="K315" s="9" t="str">
        <f>VLOOKUP(A315,Sheet9!$A:$F,6,FALSE)</f>
        <v>For Rent</v>
      </c>
      <c r="L315" s="9">
        <f t="shared" si="4"/>
        <v>3</v>
      </c>
    </row>
    <row r="316" spans="1:12" ht="15" thickBot="1">
      <c r="A316" s="31">
        <v>4336388</v>
      </c>
      <c r="B316" s="35">
        <v>163</v>
      </c>
      <c r="C316" s="35" t="s">
        <v>153</v>
      </c>
      <c r="D316" s="35">
        <v>6</v>
      </c>
      <c r="E316" s="35">
        <v>6</v>
      </c>
      <c r="F316" s="36">
        <v>43657</v>
      </c>
      <c r="G316" s="9">
        <f>VLOOKUP(A316,Sheet9!$A:$F,2,FALSE)</f>
        <v>350000</v>
      </c>
      <c r="H316" s="9" t="str">
        <f>VLOOKUP(A316,Sheet9!$A:$F,3,FALSE )</f>
        <v>F-11</v>
      </c>
      <c r="I316" s="9" t="str">
        <f>VLOOKUP(A316,Sheet9!$A:$F,4,FALSE)</f>
        <v>Islamabad</v>
      </c>
      <c r="J316" s="9" t="str">
        <f>VLOOKUP(A316,Sheet9!$A:$F,5,FALSE)</f>
        <v>Islamabad Capital</v>
      </c>
      <c r="K316" s="9" t="str">
        <f>VLOOKUP(A316,Sheet9!$A:$F,6,FALSE)</f>
        <v>For Rent</v>
      </c>
      <c r="L316" s="9">
        <f t="shared" si="4"/>
        <v>3</v>
      </c>
    </row>
    <row r="317" spans="1:12" ht="15" thickBot="1">
      <c r="A317" s="31">
        <v>4336407</v>
      </c>
      <c r="B317" s="35">
        <v>163</v>
      </c>
      <c r="C317" s="35" t="s">
        <v>153</v>
      </c>
      <c r="D317" s="35">
        <v>5</v>
      </c>
      <c r="E317" s="35">
        <v>5</v>
      </c>
      <c r="F317" s="36">
        <v>43657</v>
      </c>
      <c r="G317" s="9">
        <f>VLOOKUP(A317,Sheet9!$A:$F,2,FALSE)</f>
        <v>160000</v>
      </c>
      <c r="H317" s="9" t="str">
        <f>VLOOKUP(A317,Sheet9!$A:$F,3,FALSE )</f>
        <v>F-11</v>
      </c>
      <c r="I317" s="9" t="str">
        <f>VLOOKUP(A317,Sheet9!$A:$F,4,FALSE)</f>
        <v>Islamabad</v>
      </c>
      <c r="J317" s="9" t="str">
        <f>VLOOKUP(A317,Sheet9!$A:$F,5,FALSE)</f>
        <v>Islamabad Capital</v>
      </c>
      <c r="K317" s="9" t="str">
        <f>VLOOKUP(A317,Sheet9!$A:$F,6,FALSE)</f>
        <v>For Rent</v>
      </c>
      <c r="L317" s="9">
        <f t="shared" si="4"/>
        <v>3</v>
      </c>
    </row>
    <row r="318" spans="1:12" ht="29.5" thickBot="1">
      <c r="A318" s="31">
        <v>4336415</v>
      </c>
      <c r="B318" s="35">
        <v>163</v>
      </c>
      <c r="C318" s="35" t="s">
        <v>156</v>
      </c>
      <c r="D318" s="35">
        <v>3</v>
      </c>
      <c r="E318" s="35">
        <v>3</v>
      </c>
      <c r="F318" s="36">
        <v>43657</v>
      </c>
      <c r="G318" s="9">
        <f>VLOOKUP(A318,Sheet9!$A:$F,2,FALSE)</f>
        <v>110000</v>
      </c>
      <c r="H318" s="9" t="str">
        <f>VLOOKUP(A318,Sheet9!$A:$F,3,FALSE )</f>
        <v>F-11</v>
      </c>
      <c r="I318" s="9" t="str">
        <f>VLOOKUP(A318,Sheet9!$A:$F,4,FALSE)</f>
        <v>Islamabad</v>
      </c>
      <c r="J318" s="9" t="str">
        <f>VLOOKUP(A318,Sheet9!$A:$F,5,FALSE)</f>
        <v>Islamabad Capital</v>
      </c>
      <c r="K318" s="9" t="str">
        <f>VLOOKUP(A318,Sheet9!$A:$F,6,FALSE)</f>
        <v>For Rent</v>
      </c>
      <c r="L318" s="9">
        <f t="shared" si="4"/>
        <v>3</v>
      </c>
    </row>
    <row r="319" spans="1:12" ht="15" thickBot="1">
      <c r="A319" s="31">
        <v>4336423</v>
      </c>
      <c r="B319" s="35">
        <v>163</v>
      </c>
      <c r="C319" s="35" t="s">
        <v>153</v>
      </c>
      <c r="D319" s="35">
        <v>5</v>
      </c>
      <c r="E319" s="35">
        <v>5</v>
      </c>
      <c r="F319" s="36">
        <v>43657</v>
      </c>
      <c r="G319" s="9">
        <f>VLOOKUP(A319,Sheet9!$A:$F,2,FALSE)</f>
        <v>190000</v>
      </c>
      <c r="H319" s="9" t="str">
        <f>VLOOKUP(A319,Sheet9!$A:$F,3,FALSE )</f>
        <v>F-11</v>
      </c>
      <c r="I319" s="9" t="str">
        <f>VLOOKUP(A319,Sheet9!$A:$F,4,FALSE)</f>
        <v>Islamabad</v>
      </c>
      <c r="J319" s="9" t="str">
        <f>VLOOKUP(A319,Sheet9!$A:$F,5,FALSE)</f>
        <v>Islamabad Capital</v>
      </c>
      <c r="K319" s="9" t="str">
        <f>VLOOKUP(A319,Sheet9!$A:$F,6,FALSE)</f>
        <v>For Rent</v>
      </c>
      <c r="L319" s="9">
        <f t="shared" si="4"/>
        <v>3</v>
      </c>
    </row>
    <row r="320" spans="1:12" ht="15" thickBot="1">
      <c r="A320" s="31">
        <v>4336482</v>
      </c>
      <c r="B320" s="35">
        <v>163</v>
      </c>
      <c r="C320" s="35" t="s">
        <v>153</v>
      </c>
      <c r="D320" s="35">
        <v>6</v>
      </c>
      <c r="E320" s="35">
        <v>6</v>
      </c>
      <c r="F320" s="36">
        <v>43657</v>
      </c>
      <c r="G320" s="9">
        <f>VLOOKUP(A320,Sheet9!$A:$F,2,FALSE)</f>
        <v>180000</v>
      </c>
      <c r="H320" s="9" t="str">
        <f>VLOOKUP(A320,Sheet9!$A:$F,3,FALSE )</f>
        <v>F-11</v>
      </c>
      <c r="I320" s="9" t="str">
        <f>VLOOKUP(A320,Sheet9!$A:$F,4,FALSE)</f>
        <v>Islamabad</v>
      </c>
      <c r="J320" s="9" t="str">
        <f>VLOOKUP(A320,Sheet9!$A:$F,5,FALSE)</f>
        <v>Islamabad Capital</v>
      </c>
      <c r="K320" s="9" t="str">
        <f>VLOOKUP(A320,Sheet9!$A:$F,6,FALSE)</f>
        <v>For Rent</v>
      </c>
      <c r="L320" s="9">
        <f t="shared" si="4"/>
        <v>3</v>
      </c>
    </row>
    <row r="321" spans="1:12" ht="15" thickBot="1">
      <c r="A321" s="31">
        <v>4336493</v>
      </c>
      <c r="B321" s="35">
        <v>163</v>
      </c>
      <c r="C321" s="35" t="s">
        <v>153</v>
      </c>
      <c r="D321" s="35">
        <v>7</v>
      </c>
      <c r="E321" s="35">
        <v>7</v>
      </c>
      <c r="F321" s="36">
        <v>43657</v>
      </c>
      <c r="G321" s="9">
        <f>VLOOKUP(A321,Sheet9!$A:$F,2,FALSE)</f>
        <v>170000</v>
      </c>
      <c r="H321" s="9" t="str">
        <f>VLOOKUP(A321,Sheet9!$A:$F,3,FALSE )</f>
        <v>F-11</v>
      </c>
      <c r="I321" s="9" t="str">
        <f>VLOOKUP(A321,Sheet9!$A:$F,4,FALSE)</f>
        <v>Islamabad</v>
      </c>
      <c r="J321" s="9" t="str">
        <f>VLOOKUP(A321,Sheet9!$A:$F,5,FALSE)</f>
        <v>Islamabad Capital</v>
      </c>
      <c r="K321" s="9" t="str">
        <f>VLOOKUP(A321,Sheet9!$A:$F,6,FALSE)</f>
        <v>For Rent</v>
      </c>
      <c r="L321" s="9">
        <f t="shared" si="4"/>
        <v>3</v>
      </c>
    </row>
    <row r="322" spans="1:12" ht="15" thickBot="1">
      <c r="A322" s="31">
        <v>4339824</v>
      </c>
      <c r="B322" s="35">
        <v>1610</v>
      </c>
      <c r="C322" s="35" t="s">
        <v>153</v>
      </c>
      <c r="D322" s="35">
        <v>6</v>
      </c>
      <c r="E322" s="35">
        <v>5</v>
      </c>
      <c r="F322" s="36">
        <v>43641</v>
      </c>
      <c r="G322" s="9">
        <f>VLOOKUP(A322,Sheet9!$A:$F,2,FALSE)</f>
        <v>52500000</v>
      </c>
      <c r="H322" s="9" t="str">
        <f>VLOOKUP(A322,Sheet9!$A:$F,3,FALSE )</f>
        <v>DHA Defence</v>
      </c>
      <c r="I322" s="9" t="str">
        <f>VLOOKUP(A322,Sheet9!$A:$F,4,FALSE)</f>
        <v>Lahore</v>
      </c>
      <c r="J322" s="9" t="str">
        <f>VLOOKUP(A322,Sheet9!$A:$F,5,FALSE)</f>
        <v>Punjab</v>
      </c>
      <c r="K322" s="9" t="str">
        <f>VLOOKUP(A322,Sheet9!$A:$F,6,FALSE)</f>
        <v>For Sale</v>
      </c>
      <c r="L322" s="9">
        <f t="shared" si="4"/>
        <v>2</v>
      </c>
    </row>
    <row r="323" spans="1:12" ht="15" thickBot="1">
      <c r="A323" s="31">
        <v>4348668</v>
      </c>
      <c r="B323" s="35">
        <v>10061</v>
      </c>
      <c r="C323" s="35" t="s">
        <v>153</v>
      </c>
      <c r="D323" s="35">
        <v>5</v>
      </c>
      <c r="E323" s="35">
        <v>5</v>
      </c>
      <c r="F323" s="36">
        <v>43621</v>
      </c>
      <c r="G323" s="9">
        <f>VLOOKUP(A323,Sheet9!$A:$F,2,FALSE)</f>
        <v>14500000</v>
      </c>
      <c r="H323" s="9" t="str">
        <f>VLOOKUP(A323,Sheet9!$A:$F,3,FALSE )</f>
        <v>Bahria Town Karachi</v>
      </c>
      <c r="I323" s="9" t="str">
        <f>VLOOKUP(A323,Sheet9!$A:$F,4,FALSE)</f>
        <v>Karachi</v>
      </c>
      <c r="J323" s="9" t="str">
        <f>VLOOKUP(A323,Sheet9!$A:$F,5,FALSE)</f>
        <v>Sindh</v>
      </c>
      <c r="K323" s="9" t="str">
        <f>VLOOKUP(A323,Sheet9!$A:$F,6,FALSE)</f>
        <v>For Sale</v>
      </c>
      <c r="L323" s="9">
        <f t="shared" ref="L323:L386" si="5">HLOOKUP(J323,$N$1:$P$2,2,FALSE)</f>
        <v>1</v>
      </c>
    </row>
    <row r="324" spans="1:12" ht="15" thickBot="1">
      <c r="A324" s="31">
        <v>4352352</v>
      </c>
      <c r="B324" s="35">
        <v>3824</v>
      </c>
      <c r="C324" s="35" t="s">
        <v>153</v>
      </c>
      <c r="D324" s="35">
        <v>8</v>
      </c>
      <c r="E324" s="35">
        <v>5</v>
      </c>
      <c r="F324" s="36">
        <v>43588</v>
      </c>
      <c r="G324" s="9">
        <f>VLOOKUP(A324,Sheet9!$A:$F,2,FALSE)</f>
        <v>35000000</v>
      </c>
      <c r="H324" s="9" t="str">
        <f>VLOOKUP(A324,Sheet9!$A:$F,3,FALSE )</f>
        <v>Gulberg</v>
      </c>
      <c r="I324" s="9" t="str">
        <f>VLOOKUP(A324,Sheet9!$A:$F,4,FALSE)</f>
        <v>Lahore</v>
      </c>
      <c r="J324" s="9" t="str">
        <f>VLOOKUP(A324,Sheet9!$A:$F,5,FALSE)</f>
        <v>Punjab</v>
      </c>
      <c r="K324" s="9" t="str">
        <f>VLOOKUP(A324,Sheet9!$A:$F,6,FALSE)</f>
        <v>For Sale</v>
      </c>
      <c r="L324" s="9">
        <f t="shared" si="5"/>
        <v>2</v>
      </c>
    </row>
    <row r="325" spans="1:12" ht="15" thickBot="1">
      <c r="A325" s="31">
        <v>4358106</v>
      </c>
      <c r="B325" s="35">
        <v>445</v>
      </c>
      <c r="C325" s="35" t="s">
        <v>153</v>
      </c>
      <c r="D325" s="35">
        <v>9</v>
      </c>
      <c r="E325" s="35">
        <v>7</v>
      </c>
      <c r="F325" s="36">
        <v>43635</v>
      </c>
      <c r="G325" s="9">
        <f>VLOOKUP(A325,Sheet9!$A:$F,2,FALSE)</f>
        <v>32500000</v>
      </c>
      <c r="H325" s="9" t="str">
        <f>VLOOKUP(A325,Sheet9!$A:$F,3,FALSE )</f>
        <v>Korang Town</v>
      </c>
      <c r="I325" s="9" t="str">
        <f>VLOOKUP(A325,Sheet9!$A:$F,4,FALSE)</f>
        <v>Islamabad</v>
      </c>
      <c r="J325" s="9" t="str">
        <f>VLOOKUP(A325,Sheet9!$A:$F,5,FALSE)</f>
        <v>Islamabad Capital</v>
      </c>
      <c r="K325" s="9" t="str">
        <f>VLOOKUP(A325,Sheet9!$A:$F,6,FALSE)</f>
        <v>For Sale</v>
      </c>
      <c r="L325" s="9">
        <f t="shared" si="5"/>
        <v>3</v>
      </c>
    </row>
    <row r="326" spans="1:12" ht="29.5" thickBot="1">
      <c r="A326" s="31">
        <v>4366201</v>
      </c>
      <c r="B326" s="35">
        <v>163</v>
      </c>
      <c r="C326" s="35" t="s">
        <v>156</v>
      </c>
      <c r="D326" s="35">
        <v>3</v>
      </c>
      <c r="E326" s="35">
        <v>3</v>
      </c>
      <c r="F326" s="36">
        <v>43657</v>
      </c>
      <c r="G326" s="9">
        <f>VLOOKUP(A326,Sheet9!$A:$F,2,FALSE)</f>
        <v>100000</v>
      </c>
      <c r="H326" s="9" t="str">
        <f>VLOOKUP(A326,Sheet9!$A:$F,3,FALSE )</f>
        <v>F-11</v>
      </c>
      <c r="I326" s="9" t="str">
        <f>VLOOKUP(A326,Sheet9!$A:$F,4,FALSE)</f>
        <v>Islamabad</v>
      </c>
      <c r="J326" s="9" t="str">
        <f>VLOOKUP(A326,Sheet9!$A:$F,5,FALSE)</f>
        <v>Islamabad Capital</v>
      </c>
      <c r="K326" s="9" t="str">
        <f>VLOOKUP(A326,Sheet9!$A:$F,6,FALSE)</f>
        <v>For Rent</v>
      </c>
      <c r="L326" s="9">
        <f t="shared" si="5"/>
        <v>3</v>
      </c>
    </row>
    <row r="327" spans="1:12" ht="15" thickBot="1">
      <c r="A327" s="31">
        <v>4366275</v>
      </c>
      <c r="B327" s="35">
        <v>163</v>
      </c>
      <c r="C327" s="35" t="s">
        <v>153</v>
      </c>
      <c r="D327" s="35">
        <v>8</v>
      </c>
      <c r="E327" s="35">
        <v>8</v>
      </c>
      <c r="F327" s="36">
        <v>43657</v>
      </c>
      <c r="G327" s="9">
        <f>VLOOKUP(A327,Sheet9!$A:$F,2,FALSE)</f>
        <v>350000</v>
      </c>
      <c r="H327" s="9" t="str">
        <f>VLOOKUP(A327,Sheet9!$A:$F,3,FALSE )</f>
        <v>F-11</v>
      </c>
      <c r="I327" s="9" t="str">
        <f>VLOOKUP(A327,Sheet9!$A:$F,4,FALSE)</f>
        <v>Islamabad</v>
      </c>
      <c r="J327" s="9" t="str">
        <f>VLOOKUP(A327,Sheet9!$A:$F,5,FALSE)</f>
        <v>Islamabad Capital</v>
      </c>
      <c r="K327" s="9" t="str">
        <f>VLOOKUP(A327,Sheet9!$A:$F,6,FALSE)</f>
        <v>For Rent</v>
      </c>
      <c r="L327" s="9">
        <f t="shared" si="5"/>
        <v>3</v>
      </c>
    </row>
    <row r="328" spans="1:12" ht="29.5" thickBot="1">
      <c r="A328" s="31">
        <v>4372371</v>
      </c>
      <c r="B328" s="35">
        <v>166</v>
      </c>
      <c r="C328" s="35" t="s">
        <v>155</v>
      </c>
      <c r="D328" s="35">
        <v>2</v>
      </c>
      <c r="E328" s="35">
        <v>2</v>
      </c>
      <c r="F328" s="36">
        <v>43590</v>
      </c>
      <c r="G328" s="9">
        <f>VLOOKUP(A328,Sheet9!$A:$F,2,FALSE)</f>
        <v>130000</v>
      </c>
      <c r="H328" s="9" t="str">
        <f>VLOOKUP(A328,Sheet9!$A:$F,3,FALSE )</f>
        <v>F-8</v>
      </c>
      <c r="I328" s="9" t="str">
        <f>VLOOKUP(A328,Sheet9!$A:$F,4,FALSE)</f>
        <v>Islamabad</v>
      </c>
      <c r="J328" s="9" t="str">
        <f>VLOOKUP(A328,Sheet9!$A:$F,5,FALSE)</f>
        <v>Islamabad Capital</v>
      </c>
      <c r="K328" s="9" t="str">
        <f>VLOOKUP(A328,Sheet9!$A:$F,6,FALSE)</f>
        <v>For Rent</v>
      </c>
      <c r="L328" s="9">
        <f t="shared" si="5"/>
        <v>3</v>
      </c>
    </row>
    <row r="329" spans="1:12" ht="15" thickBot="1">
      <c r="A329" s="31">
        <v>4375535</v>
      </c>
      <c r="B329" s="35">
        <v>9433</v>
      </c>
      <c r="C329" s="35" t="s">
        <v>153</v>
      </c>
      <c r="D329" s="35">
        <v>5</v>
      </c>
      <c r="E329" s="35">
        <v>5</v>
      </c>
      <c r="F329" s="36">
        <v>43634</v>
      </c>
      <c r="G329" s="9">
        <f>VLOOKUP(A329,Sheet9!$A:$F,2,FALSE)</f>
        <v>22500000</v>
      </c>
      <c r="H329" s="9" t="str">
        <f>VLOOKUP(A329,Sheet9!$A:$F,3,FALSE )</f>
        <v>Askari</v>
      </c>
      <c r="I329" s="9" t="str">
        <f>VLOOKUP(A329,Sheet9!$A:$F,4,FALSE)</f>
        <v>Lahore</v>
      </c>
      <c r="J329" s="9" t="str">
        <f>VLOOKUP(A329,Sheet9!$A:$F,5,FALSE)</f>
        <v>Punjab</v>
      </c>
      <c r="K329" s="9" t="str">
        <f>VLOOKUP(A329,Sheet9!$A:$F,6,FALSE)</f>
        <v>For Sale</v>
      </c>
      <c r="L329" s="9">
        <f t="shared" si="5"/>
        <v>2</v>
      </c>
    </row>
    <row r="330" spans="1:12" ht="15" thickBot="1">
      <c r="A330" s="31">
        <v>4375549</v>
      </c>
      <c r="B330" s="35">
        <v>9435</v>
      </c>
      <c r="C330" s="35" t="s">
        <v>153</v>
      </c>
      <c r="D330" s="35">
        <v>5</v>
      </c>
      <c r="E330" s="35">
        <v>4</v>
      </c>
      <c r="F330" s="36">
        <v>43634</v>
      </c>
      <c r="G330" s="9">
        <f>VLOOKUP(A330,Sheet9!$A:$F,2,FALSE)</f>
        <v>22500000</v>
      </c>
      <c r="H330" s="9" t="str">
        <f>VLOOKUP(A330,Sheet9!$A:$F,3,FALSE )</f>
        <v>Askari</v>
      </c>
      <c r="I330" s="9" t="str">
        <f>VLOOKUP(A330,Sheet9!$A:$F,4,FALSE)</f>
        <v>Lahore</v>
      </c>
      <c r="J330" s="9" t="str">
        <f>VLOOKUP(A330,Sheet9!$A:$F,5,FALSE)</f>
        <v>Punjab</v>
      </c>
      <c r="K330" s="9" t="str">
        <f>VLOOKUP(A330,Sheet9!$A:$F,6,FALSE)</f>
        <v>For Sale</v>
      </c>
      <c r="L330" s="9">
        <f t="shared" si="5"/>
        <v>2</v>
      </c>
    </row>
    <row r="331" spans="1:12" ht="15" thickBot="1">
      <c r="A331" s="31">
        <v>4375556</v>
      </c>
      <c r="B331" s="35">
        <v>9434</v>
      </c>
      <c r="C331" s="35" t="s">
        <v>153</v>
      </c>
      <c r="D331" s="35">
        <v>4</v>
      </c>
      <c r="E331" s="35">
        <v>4</v>
      </c>
      <c r="F331" s="36">
        <v>43634</v>
      </c>
      <c r="G331" s="9">
        <f>VLOOKUP(A331,Sheet9!$A:$F,2,FALSE)</f>
        <v>23500000</v>
      </c>
      <c r="H331" s="9" t="str">
        <f>VLOOKUP(A331,Sheet9!$A:$F,3,FALSE )</f>
        <v>Askari</v>
      </c>
      <c r="I331" s="9" t="str">
        <f>VLOOKUP(A331,Sheet9!$A:$F,4,FALSE)</f>
        <v>Lahore</v>
      </c>
      <c r="J331" s="9" t="str">
        <f>VLOOKUP(A331,Sheet9!$A:$F,5,FALSE)</f>
        <v>Punjab</v>
      </c>
      <c r="K331" s="9" t="str">
        <f>VLOOKUP(A331,Sheet9!$A:$F,6,FALSE)</f>
        <v>For Sale</v>
      </c>
      <c r="L331" s="9">
        <f t="shared" si="5"/>
        <v>2</v>
      </c>
    </row>
    <row r="332" spans="1:12" ht="29.5" thickBot="1">
      <c r="A332" s="31">
        <v>4381593</v>
      </c>
      <c r="B332" s="35">
        <v>1484</v>
      </c>
      <c r="C332" s="35" t="s">
        <v>155</v>
      </c>
      <c r="D332" s="35">
        <v>5</v>
      </c>
      <c r="E332" s="35">
        <v>4</v>
      </c>
      <c r="F332" s="36">
        <v>43664</v>
      </c>
      <c r="G332" s="9">
        <f>VLOOKUP(A332,Sheet9!$A:$F,2,FALSE)</f>
        <v>150000</v>
      </c>
      <c r="H332" s="9" t="str">
        <f>VLOOKUP(A332,Sheet9!$A:$F,3,FALSE )</f>
        <v>DHA Defence</v>
      </c>
      <c r="I332" s="9" t="str">
        <f>VLOOKUP(A332,Sheet9!$A:$F,4,FALSE)</f>
        <v>Karachi</v>
      </c>
      <c r="J332" s="9" t="str">
        <f>VLOOKUP(A332,Sheet9!$A:$F,5,FALSE)</f>
        <v>Sindh</v>
      </c>
      <c r="K332" s="9" t="str">
        <f>VLOOKUP(A332,Sheet9!$A:$F,6,FALSE)</f>
        <v>For Rent</v>
      </c>
      <c r="L332" s="9">
        <f t="shared" si="5"/>
        <v>1</v>
      </c>
    </row>
    <row r="333" spans="1:12" ht="15" thickBot="1">
      <c r="A333" s="31">
        <v>4384056</v>
      </c>
      <c r="B333" s="35">
        <v>6674</v>
      </c>
      <c r="C333" s="35" t="s">
        <v>154</v>
      </c>
      <c r="D333" s="35">
        <v>3</v>
      </c>
      <c r="E333" s="35">
        <v>3</v>
      </c>
      <c r="F333" s="36">
        <v>43650</v>
      </c>
      <c r="G333" s="9">
        <f>VLOOKUP(A333,Sheet9!$A:$F,2,FALSE)</f>
        <v>22500000</v>
      </c>
      <c r="H333" s="9" t="str">
        <f>VLOOKUP(A333,Sheet9!$A:$F,3,FALSE )</f>
        <v>DHA Defence</v>
      </c>
      <c r="I333" s="9" t="str">
        <f>VLOOKUP(A333,Sheet9!$A:$F,4,FALSE)</f>
        <v>Karachi</v>
      </c>
      <c r="J333" s="9" t="str">
        <f>VLOOKUP(A333,Sheet9!$A:$F,5,FALSE)</f>
        <v>Sindh</v>
      </c>
      <c r="K333" s="9" t="str">
        <f>VLOOKUP(A333,Sheet9!$A:$F,6,FALSE)</f>
        <v>For Sale</v>
      </c>
      <c r="L333" s="9">
        <f t="shared" si="5"/>
        <v>1</v>
      </c>
    </row>
    <row r="334" spans="1:12" ht="15" thickBot="1">
      <c r="A334" s="31">
        <v>4387768</v>
      </c>
      <c r="B334" s="35">
        <v>162</v>
      </c>
      <c r="C334" s="35" t="s">
        <v>153</v>
      </c>
      <c r="D334" s="35">
        <v>7</v>
      </c>
      <c r="E334" s="35">
        <v>7</v>
      </c>
      <c r="F334" s="36">
        <v>43657</v>
      </c>
      <c r="G334" s="9">
        <f>VLOOKUP(A334,Sheet9!$A:$F,2,FALSE)</f>
        <v>250000</v>
      </c>
      <c r="H334" s="9" t="str">
        <f>VLOOKUP(A334,Sheet9!$A:$F,3,FALSE )</f>
        <v>F-10</v>
      </c>
      <c r="I334" s="9" t="str">
        <f>VLOOKUP(A334,Sheet9!$A:$F,4,FALSE)</f>
        <v>Islamabad</v>
      </c>
      <c r="J334" s="9" t="str">
        <f>VLOOKUP(A334,Sheet9!$A:$F,5,FALSE)</f>
        <v>Islamabad Capital</v>
      </c>
      <c r="K334" s="9" t="str">
        <f>VLOOKUP(A334,Sheet9!$A:$F,6,FALSE)</f>
        <v>For Rent</v>
      </c>
      <c r="L334" s="9">
        <f t="shared" si="5"/>
        <v>3</v>
      </c>
    </row>
    <row r="335" spans="1:12" ht="15" thickBot="1">
      <c r="A335" s="31">
        <v>4387878</v>
      </c>
      <c r="B335" s="35">
        <v>9438</v>
      </c>
      <c r="C335" s="35" t="s">
        <v>154</v>
      </c>
      <c r="D335" s="35">
        <v>7</v>
      </c>
      <c r="E335" s="35">
        <v>3</v>
      </c>
      <c r="F335" s="36">
        <v>43591</v>
      </c>
      <c r="G335" s="9">
        <f>VLOOKUP(A335,Sheet9!$A:$F,2,FALSE)</f>
        <v>32000</v>
      </c>
      <c r="H335" s="9" t="str">
        <f>VLOOKUP(A335,Sheet9!$A:$F,3,FALSE )</f>
        <v>Askari 1</v>
      </c>
      <c r="I335" s="9" t="str">
        <f>VLOOKUP(A335,Sheet9!$A:$F,4,FALSE)</f>
        <v>Rawalpindi</v>
      </c>
      <c r="J335" s="9" t="str">
        <f>VLOOKUP(A335,Sheet9!$A:$F,5,FALSE)</f>
        <v>Punjab</v>
      </c>
      <c r="K335" s="9" t="str">
        <f>VLOOKUP(A335,Sheet9!$A:$F,6,FALSE)</f>
        <v>For Rent</v>
      </c>
      <c r="L335" s="9">
        <f t="shared" si="5"/>
        <v>2</v>
      </c>
    </row>
    <row r="336" spans="1:12" ht="15" thickBot="1">
      <c r="A336" s="31">
        <v>4389467</v>
      </c>
      <c r="B336" s="35">
        <v>1483</v>
      </c>
      <c r="C336" s="35" t="s">
        <v>153</v>
      </c>
      <c r="D336" s="35">
        <v>7</v>
      </c>
      <c r="E336" s="35">
        <v>6</v>
      </c>
      <c r="F336" s="36">
        <v>43664</v>
      </c>
      <c r="G336" s="9">
        <f>VLOOKUP(A336,Sheet9!$A:$F,2,FALSE)</f>
        <v>250000</v>
      </c>
      <c r="H336" s="9" t="str">
        <f>VLOOKUP(A336,Sheet9!$A:$F,3,FALSE )</f>
        <v>DHA Defence</v>
      </c>
      <c r="I336" s="9" t="str">
        <f>VLOOKUP(A336,Sheet9!$A:$F,4,FALSE)</f>
        <v>Karachi</v>
      </c>
      <c r="J336" s="9" t="str">
        <f>VLOOKUP(A336,Sheet9!$A:$F,5,FALSE)</f>
        <v>Sindh</v>
      </c>
      <c r="K336" s="9" t="str">
        <f>VLOOKUP(A336,Sheet9!$A:$F,6,FALSE)</f>
        <v>For Rent</v>
      </c>
      <c r="L336" s="9">
        <f t="shared" si="5"/>
        <v>1</v>
      </c>
    </row>
    <row r="337" spans="1:12" ht="15" thickBot="1">
      <c r="A337" s="31">
        <v>4390797</v>
      </c>
      <c r="B337" s="35">
        <v>3278</v>
      </c>
      <c r="C337" s="35" t="s">
        <v>154</v>
      </c>
      <c r="D337" s="35">
        <v>2</v>
      </c>
      <c r="E337" s="35">
        <v>2</v>
      </c>
      <c r="F337" s="36">
        <v>43650</v>
      </c>
      <c r="G337" s="9">
        <f>VLOOKUP(A337,Sheet9!$A:$F,2,FALSE)</f>
        <v>7800000</v>
      </c>
      <c r="H337" s="9" t="str">
        <f>VLOOKUP(A337,Sheet9!$A:$F,3,FALSE )</f>
        <v>F-10</v>
      </c>
      <c r="I337" s="9" t="str">
        <f>VLOOKUP(A337,Sheet9!$A:$F,4,FALSE)</f>
        <v>Islamabad</v>
      </c>
      <c r="J337" s="9" t="str">
        <f>VLOOKUP(A337,Sheet9!$A:$F,5,FALSE)</f>
        <v>Islamabad Capital</v>
      </c>
      <c r="K337" s="9" t="str">
        <f>VLOOKUP(A337,Sheet9!$A:$F,6,FALSE)</f>
        <v>For Sale</v>
      </c>
      <c r="L337" s="9">
        <f t="shared" si="5"/>
        <v>3</v>
      </c>
    </row>
    <row r="338" spans="1:12" ht="15" thickBot="1">
      <c r="A338" s="31">
        <v>4393127</v>
      </c>
      <c r="B338" s="35">
        <v>3529</v>
      </c>
      <c r="C338" s="35" t="s">
        <v>153</v>
      </c>
      <c r="D338" s="35">
        <v>5</v>
      </c>
      <c r="E338" s="35">
        <v>5</v>
      </c>
      <c r="F338" s="36">
        <v>43649</v>
      </c>
      <c r="G338" s="9">
        <f>VLOOKUP(A338,Sheet9!$A:$F,2,FALSE)</f>
        <v>15500000</v>
      </c>
      <c r="H338" s="9" t="str">
        <f>VLOOKUP(A338,Sheet9!$A:$F,3,FALSE )</f>
        <v>Allama Iqbal Town</v>
      </c>
      <c r="I338" s="9" t="str">
        <f>VLOOKUP(A338,Sheet9!$A:$F,4,FALSE)</f>
        <v>Lahore</v>
      </c>
      <c r="J338" s="9" t="str">
        <f>VLOOKUP(A338,Sheet9!$A:$F,5,FALSE)</f>
        <v>Punjab</v>
      </c>
      <c r="K338" s="9" t="str">
        <f>VLOOKUP(A338,Sheet9!$A:$F,6,FALSE)</f>
        <v>For Sale</v>
      </c>
      <c r="L338" s="9">
        <f t="shared" si="5"/>
        <v>2</v>
      </c>
    </row>
    <row r="339" spans="1:12" ht="15" thickBot="1">
      <c r="A339" s="31">
        <v>4398714</v>
      </c>
      <c r="B339" s="35">
        <v>1270</v>
      </c>
      <c r="C339" s="35" t="s">
        <v>153</v>
      </c>
      <c r="D339" s="35">
        <v>4</v>
      </c>
      <c r="E339" s="35">
        <v>3</v>
      </c>
      <c r="F339" s="36">
        <v>43629</v>
      </c>
      <c r="G339" s="9">
        <f>VLOOKUP(A339,Sheet9!$A:$F,2,FALSE)</f>
        <v>22500000</v>
      </c>
      <c r="H339" s="9" t="str">
        <f>VLOOKUP(A339,Sheet9!$A:$F,3,FALSE )</f>
        <v>Askari 7</v>
      </c>
      <c r="I339" s="9" t="str">
        <f>VLOOKUP(A339,Sheet9!$A:$F,4,FALSE)</f>
        <v>Rawalpindi</v>
      </c>
      <c r="J339" s="9" t="str">
        <f>VLOOKUP(A339,Sheet9!$A:$F,5,FALSE)</f>
        <v>Punjab</v>
      </c>
      <c r="K339" s="9" t="str">
        <f>VLOOKUP(A339,Sheet9!$A:$F,6,FALSE)</f>
        <v>For Sale</v>
      </c>
      <c r="L339" s="9">
        <f t="shared" si="5"/>
        <v>2</v>
      </c>
    </row>
    <row r="340" spans="1:12" ht="15" thickBot="1">
      <c r="A340" s="31">
        <v>4405633</v>
      </c>
      <c r="B340" s="35">
        <v>8889</v>
      </c>
      <c r="C340" s="35" t="s">
        <v>153</v>
      </c>
      <c r="D340" s="35">
        <v>4</v>
      </c>
      <c r="E340" s="35">
        <v>4</v>
      </c>
      <c r="F340" s="36">
        <v>43647</v>
      </c>
      <c r="G340" s="9">
        <f>VLOOKUP(A340,Sheet9!$A:$F,2,FALSE)</f>
        <v>45000000</v>
      </c>
      <c r="H340" s="9" t="str">
        <f>VLOOKUP(A340,Sheet9!$A:$F,3,FALSE )</f>
        <v>Gulistan-e-Jauhar</v>
      </c>
      <c r="I340" s="9" t="str">
        <f>VLOOKUP(A340,Sheet9!$A:$F,4,FALSE)</f>
        <v>Karachi</v>
      </c>
      <c r="J340" s="9" t="str">
        <f>VLOOKUP(A340,Sheet9!$A:$F,5,FALSE)</f>
        <v>Sindh</v>
      </c>
      <c r="K340" s="9" t="str">
        <f>VLOOKUP(A340,Sheet9!$A:$F,6,FALSE)</f>
        <v>For Sale</v>
      </c>
      <c r="L340" s="9">
        <f t="shared" si="5"/>
        <v>1</v>
      </c>
    </row>
    <row r="341" spans="1:12" ht="15" thickBot="1">
      <c r="A341" s="31">
        <v>4458130</v>
      </c>
      <c r="B341" s="35">
        <v>10011</v>
      </c>
      <c r="C341" s="35" t="s">
        <v>153</v>
      </c>
      <c r="D341" s="35">
        <v>3</v>
      </c>
      <c r="E341" s="35">
        <v>3</v>
      </c>
      <c r="F341" s="36">
        <v>43621</v>
      </c>
      <c r="G341" s="9">
        <f>VLOOKUP(A341,Sheet9!$A:$F,2,FALSE)</f>
        <v>21000000</v>
      </c>
      <c r="H341" s="9" t="str">
        <f>VLOOKUP(A341,Sheet9!$A:$F,3,FALSE )</f>
        <v>Bahria Town Karachi</v>
      </c>
      <c r="I341" s="9" t="str">
        <f>VLOOKUP(A341,Sheet9!$A:$F,4,FALSE)</f>
        <v>Karachi</v>
      </c>
      <c r="J341" s="9" t="str">
        <f>VLOOKUP(A341,Sheet9!$A:$F,5,FALSE)</f>
        <v>Sindh</v>
      </c>
      <c r="K341" s="9" t="str">
        <f>VLOOKUP(A341,Sheet9!$A:$F,6,FALSE)</f>
        <v>For Sale</v>
      </c>
      <c r="L341" s="9">
        <f t="shared" si="5"/>
        <v>1</v>
      </c>
    </row>
    <row r="342" spans="1:12" ht="15" thickBot="1">
      <c r="A342" s="31">
        <v>4474118</v>
      </c>
      <c r="B342" s="35">
        <v>9059</v>
      </c>
      <c r="C342" s="35" t="s">
        <v>154</v>
      </c>
      <c r="D342" s="35">
        <v>3</v>
      </c>
      <c r="E342" s="35">
        <v>3</v>
      </c>
      <c r="F342" s="36">
        <v>43542</v>
      </c>
      <c r="G342" s="9">
        <f>VLOOKUP(A342,Sheet9!$A:$F,2,FALSE)</f>
        <v>8500000</v>
      </c>
      <c r="H342" s="9" t="str">
        <f>VLOOKUP(A342,Sheet9!$A:$F,3,FALSE )</f>
        <v>Jinnah Avenue</v>
      </c>
      <c r="I342" s="9" t="str">
        <f>VLOOKUP(A342,Sheet9!$A:$F,4,FALSE)</f>
        <v>Karachi</v>
      </c>
      <c r="J342" s="9" t="str">
        <f>VLOOKUP(A342,Sheet9!$A:$F,5,FALSE)</f>
        <v>Sindh</v>
      </c>
      <c r="K342" s="9" t="str">
        <f>VLOOKUP(A342,Sheet9!$A:$F,6,FALSE)</f>
        <v>For Sale</v>
      </c>
      <c r="L342" s="9">
        <f t="shared" si="5"/>
        <v>1</v>
      </c>
    </row>
    <row r="343" spans="1:12" ht="29.5" thickBot="1">
      <c r="A343" s="31">
        <v>4480514</v>
      </c>
      <c r="B343" s="35">
        <v>9582</v>
      </c>
      <c r="C343" s="35" t="s">
        <v>156</v>
      </c>
      <c r="D343" s="35">
        <v>3</v>
      </c>
      <c r="E343" s="35">
        <v>3</v>
      </c>
      <c r="F343" s="36">
        <v>43636</v>
      </c>
      <c r="G343" s="9">
        <f>VLOOKUP(A343,Sheet9!$A:$F,2,FALSE)</f>
        <v>70000</v>
      </c>
      <c r="H343" s="9" t="str">
        <f>VLOOKUP(A343,Sheet9!$A:$F,3,FALSE )</f>
        <v>Malir</v>
      </c>
      <c r="I343" s="9" t="str">
        <f>VLOOKUP(A343,Sheet9!$A:$F,4,FALSE)</f>
        <v>Karachi</v>
      </c>
      <c r="J343" s="9" t="str">
        <f>VLOOKUP(A343,Sheet9!$A:$F,5,FALSE)</f>
        <v>Sindh</v>
      </c>
      <c r="K343" s="9" t="str">
        <f>VLOOKUP(A343,Sheet9!$A:$F,6,FALSE)</f>
        <v>For Rent</v>
      </c>
      <c r="L343" s="9">
        <f t="shared" si="5"/>
        <v>1</v>
      </c>
    </row>
    <row r="344" spans="1:12" ht="15" thickBot="1">
      <c r="A344" s="31">
        <v>4498537</v>
      </c>
      <c r="B344" s="35">
        <v>10542</v>
      </c>
      <c r="C344" s="35" t="s">
        <v>153</v>
      </c>
      <c r="D344" s="35">
        <v>5</v>
      </c>
      <c r="E344" s="35">
        <v>4</v>
      </c>
      <c r="F344" s="36">
        <v>43634</v>
      </c>
      <c r="G344" s="9">
        <f>VLOOKUP(A344,Sheet9!$A:$F,2,FALSE)</f>
        <v>37000000</v>
      </c>
      <c r="H344" s="9" t="str">
        <f>VLOOKUP(A344,Sheet9!$A:$F,3,FALSE )</f>
        <v>Askari</v>
      </c>
      <c r="I344" s="9" t="str">
        <f>VLOOKUP(A344,Sheet9!$A:$F,4,FALSE)</f>
        <v>Lahore</v>
      </c>
      <c r="J344" s="9" t="str">
        <f>VLOOKUP(A344,Sheet9!$A:$F,5,FALSE)</f>
        <v>Punjab</v>
      </c>
      <c r="K344" s="9" t="str">
        <f>VLOOKUP(A344,Sheet9!$A:$F,6,FALSE)</f>
        <v>For Sale</v>
      </c>
      <c r="L344" s="9">
        <f t="shared" si="5"/>
        <v>2</v>
      </c>
    </row>
    <row r="345" spans="1:12" ht="15" thickBot="1">
      <c r="A345" s="31">
        <v>4498557</v>
      </c>
      <c r="B345" s="35">
        <v>9436</v>
      </c>
      <c r="C345" s="35" t="s">
        <v>153</v>
      </c>
      <c r="D345" s="35">
        <v>4</v>
      </c>
      <c r="E345" s="35">
        <v>4</v>
      </c>
      <c r="F345" s="36">
        <v>43634</v>
      </c>
      <c r="G345" s="9">
        <f>VLOOKUP(A345,Sheet9!$A:$F,2,FALSE)</f>
        <v>28000000</v>
      </c>
      <c r="H345" s="9" t="str">
        <f>VLOOKUP(A345,Sheet9!$A:$F,3,FALSE )</f>
        <v>Askari</v>
      </c>
      <c r="I345" s="9" t="str">
        <f>VLOOKUP(A345,Sheet9!$A:$F,4,FALSE)</f>
        <v>Lahore</v>
      </c>
      <c r="J345" s="9" t="str">
        <f>VLOOKUP(A345,Sheet9!$A:$F,5,FALSE)</f>
        <v>Punjab</v>
      </c>
      <c r="K345" s="9" t="str">
        <f>VLOOKUP(A345,Sheet9!$A:$F,6,FALSE)</f>
        <v>For Sale</v>
      </c>
      <c r="L345" s="9">
        <f t="shared" si="5"/>
        <v>2</v>
      </c>
    </row>
    <row r="346" spans="1:12" ht="15" thickBot="1">
      <c r="A346" s="31">
        <v>4498560</v>
      </c>
      <c r="B346" s="35">
        <v>9434</v>
      </c>
      <c r="C346" s="35" t="s">
        <v>153</v>
      </c>
      <c r="D346" s="35">
        <v>5</v>
      </c>
      <c r="E346" s="35">
        <v>4</v>
      </c>
      <c r="F346" s="36">
        <v>43634</v>
      </c>
      <c r="G346" s="9">
        <f>VLOOKUP(A346,Sheet9!$A:$F,2,FALSE)</f>
        <v>23500000</v>
      </c>
      <c r="H346" s="9" t="str">
        <f>VLOOKUP(A346,Sheet9!$A:$F,3,FALSE )</f>
        <v>Askari</v>
      </c>
      <c r="I346" s="9" t="str">
        <f>VLOOKUP(A346,Sheet9!$A:$F,4,FALSE)</f>
        <v>Lahore</v>
      </c>
      <c r="J346" s="9" t="str">
        <f>VLOOKUP(A346,Sheet9!$A:$F,5,FALSE)</f>
        <v>Punjab</v>
      </c>
      <c r="K346" s="9" t="str">
        <f>VLOOKUP(A346,Sheet9!$A:$F,6,FALSE)</f>
        <v>For Sale</v>
      </c>
      <c r="L346" s="9">
        <f t="shared" si="5"/>
        <v>2</v>
      </c>
    </row>
    <row r="347" spans="1:12" ht="15" thickBot="1">
      <c r="A347" s="31">
        <v>4498562</v>
      </c>
      <c r="B347" s="35">
        <v>9434</v>
      </c>
      <c r="C347" s="35" t="s">
        <v>153</v>
      </c>
      <c r="D347" s="35">
        <v>6</v>
      </c>
      <c r="E347" s="35">
        <v>5</v>
      </c>
      <c r="F347" s="36">
        <v>43634</v>
      </c>
      <c r="G347" s="9">
        <f>VLOOKUP(A347,Sheet9!$A:$F,2,FALSE)</f>
        <v>22000000</v>
      </c>
      <c r="H347" s="9" t="str">
        <f>VLOOKUP(A347,Sheet9!$A:$F,3,FALSE )</f>
        <v>Askari</v>
      </c>
      <c r="I347" s="9" t="str">
        <f>VLOOKUP(A347,Sheet9!$A:$F,4,FALSE)</f>
        <v>Lahore</v>
      </c>
      <c r="J347" s="9" t="str">
        <f>VLOOKUP(A347,Sheet9!$A:$F,5,FALSE)</f>
        <v>Punjab</v>
      </c>
      <c r="K347" s="9" t="str">
        <f>VLOOKUP(A347,Sheet9!$A:$F,6,FALSE)</f>
        <v>For Sale</v>
      </c>
      <c r="L347" s="9">
        <f t="shared" si="5"/>
        <v>2</v>
      </c>
    </row>
    <row r="348" spans="1:12" ht="15" thickBot="1">
      <c r="A348" s="31">
        <v>4498563</v>
      </c>
      <c r="B348" s="35">
        <v>9433</v>
      </c>
      <c r="C348" s="35" t="s">
        <v>153</v>
      </c>
      <c r="D348" s="35">
        <v>5</v>
      </c>
      <c r="E348" s="35">
        <v>4</v>
      </c>
      <c r="F348" s="36">
        <v>43634</v>
      </c>
      <c r="G348" s="9">
        <f>VLOOKUP(A348,Sheet9!$A:$F,2,FALSE)</f>
        <v>22000000</v>
      </c>
      <c r="H348" s="9" t="str">
        <f>VLOOKUP(A348,Sheet9!$A:$F,3,FALSE )</f>
        <v>Askari</v>
      </c>
      <c r="I348" s="9" t="str">
        <f>VLOOKUP(A348,Sheet9!$A:$F,4,FALSE)</f>
        <v>Lahore</v>
      </c>
      <c r="J348" s="9" t="str">
        <f>VLOOKUP(A348,Sheet9!$A:$F,5,FALSE)</f>
        <v>Punjab</v>
      </c>
      <c r="K348" s="9" t="str">
        <f>VLOOKUP(A348,Sheet9!$A:$F,6,FALSE)</f>
        <v>For Sale</v>
      </c>
      <c r="L348" s="9">
        <f t="shared" si="5"/>
        <v>2</v>
      </c>
    </row>
    <row r="349" spans="1:12" ht="15" thickBot="1">
      <c r="A349" s="31">
        <v>4498564</v>
      </c>
      <c r="B349" s="35">
        <v>9432</v>
      </c>
      <c r="C349" s="35" t="s">
        <v>153</v>
      </c>
      <c r="D349" s="35">
        <v>5</v>
      </c>
      <c r="E349" s="35">
        <v>4</v>
      </c>
      <c r="F349" s="36">
        <v>43634</v>
      </c>
      <c r="G349" s="9">
        <f>VLOOKUP(A349,Sheet9!$A:$F,2,FALSE)</f>
        <v>21500000</v>
      </c>
      <c r="H349" s="9" t="str">
        <f>VLOOKUP(A349,Sheet9!$A:$F,3,FALSE )</f>
        <v>Askari</v>
      </c>
      <c r="I349" s="9" t="str">
        <f>VLOOKUP(A349,Sheet9!$A:$F,4,FALSE)</f>
        <v>Lahore</v>
      </c>
      <c r="J349" s="9" t="str">
        <f>VLOOKUP(A349,Sheet9!$A:$F,5,FALSE)</f>
        <v>Punjab</v>
      </c>
      <c r="K349" s="9" t="str">
        <f>VLOOKUP(A349,Sheet9!$A:$F,6,FALSE)</f>
        <v>For Sale</v>
      </c>
      <c r="L349" s="9">
        <f t="shared" si="5"/>
        <v>2</v>
      </c>
    </row>
    <row r="350" spans="1:12" ht="15" thickBot="1">
      <c r="A350" s="31">
        <v>4498565</v>
      </c>
      <c r="B350" s="35">
        <v>9435</v>
      </c>
      <c r="C350" s="35" t="s">
        <v>153</v>
      </c>
      <c r="D350" s="35">
        <v>5</v>
      </c>
      <c r="E350" s="35">
        <v>4</v>
      </c>
      <c r="F350" s="36">
        <v>43634</v>
      </c>
      <c r="G350" s="9">
        <f>VLOOKUP(A350,Sheet9!$A:$F,2,FALSE)</f>
        <v>22500000</v>
      </c>
      <c r="H350" s="9" t="str">
        <f>VLOOKUP(A350,Sheet9!$A:$F,3,FALSE )</f>
        <v>Askari</v>
      </c>
      <c r="I350" s="9" t="str">
        <f>VLOOKUP(A350,Sheet9!$A:$F,4,FALSE)</f>
        <v>Lahore</v>
      </c>
      <c r="J350" s="9" t="str">
        <f>VLOOKUP(A350,Sheet9!$A:$F,5,FALSE)</f>
        <v>Punjab</v>
      </c>
      <c r="K350" s="9" t="str">
        <f>VLOOKUP(A350,Sheet9!$A:$F,6,FALSE)</f>
        <v>For Sale</v>
      </c>
      <c r="L350" s="9">
        <f t="shared" si="5"/>
        <v>2</v>
      </c>
    </row>
    <row r="351" spans="1:12" ht="15" thickBot="1">
      <c r="A351" s="31">
        <v>4504004</v>
      </c>
      <c r="B351" s="35">
        <v>9586</v>
      </c>
      <c r="C351" s="35" t="s">
        <v>153</v>
      </c>
      <c r="D351" s="35">
        <v>6</v>
      </c>
      <c r="E351" s="35">
        <v>6</v>
      </c>
      <c r="F351" s="36">
        <v>43630</v>
      </c>
      <c r="G351" s="9">
        <f>VLOOKUP(A351,Sheet9!$A:$F,2,FALSE)</f>
        <v>85000000</v>
      </c>
      <c r="H351" s="9" t="str">
        <f>VLOOKUP(A351,Sheet9!$A:$F,3,FALSE )</f>
        <v>Cantt</v>
      </c>
      <c r="I351" s="9" t="str">
        <f>VLOOKUP(A351,Sheet9!$A:$F,4,FALSE)</f>
        <v>Karachi</v>
      </c>
      <c r="J351" s="9" t="str">
        <f>VLOOKUP(A351,Sheet9!$A:$F,5,FALSE)</f>
        <v>Sindh</v>
      </c>
      <c r="K351" s="9" t="str">
        <f>VLOOKUP(A351,Sheet9!$A:$F,6,FALSE)</f>
        <v>For Sale</v>
      </c>
      <c r="L351" s="9">
        <f t="shared" si="5"/>
        <v>1</v>
      </c>
    </row>
    <row r="352" spans="1:12" ht="15" thickBot="1">
      <c r="A352" s="31">
        <v>4504386</v>
      </c>
      <c r="B352" s="35">
        <v>10370</v>
      </c>
      <c r="C352" s="35" t="s">
        <v>154</v>
      </c>
      <c r="D352" s="35">
        <v>3</v>
      </c>
      <c r="E352" s="35">
        <v>3</v>
      </c>
      <c r="F352" s="36">
        <v>43591</v>
      </c>
      <c r="G352" s="9">
        <f>VLOOKUP(A352,Sheet9!$A:$F,2,FALSE)</f>
        <v>25000000</v>
      </c>
      <c r="H352" s="9" t="str">
        <f>VLOOKUP(A352,Sheet9!$A:$F,3,FALSE )</f>
        <v>DHA Defence</v>
      </c>
      <c r="I352" s="9" t="str">
        <f>VLOOKUP(A352,Sheet9!$A:$F,4,FALSE)</f>
        <v>Karachi</v>
      </c>
      <c r="J352" s="9" t="str">
        <f>VLOOKUP(A352,Sheet9!$A:$F,5,FALSE)</f>
        <v>Sindh</v>
      </c>
      <c r="K352" s="9" t="str">
        <f>VLOOKUP(A352,Sheet9!$A:$F,6,FALSE)</f>
        <v>For Sale</v>
      </c>
      <c r="L352" s="9">
        <f t="shared" si="5"/>
        <v>1</v>
      </c>
    </row>
    <row r="353" spans="1:12" ht="15" thickBot="1">
      <c r="A353" s="31">
        <v>4536731</v>
      </c>
      <c r="B353" s="35">
        <v>3811</v>
      </c>
      <c r="C353" s="35" t="s">
        <v>153</v>
      </c>
      <c r="D353" s="35">
        <v>0</v>
      </c>
      <c r="E353" s="35">
        <v>0</v>
      </c>
      <c r="F353" s="36">
        <v>43558</v>
      </c>
      <c r="G353" s="9">
        <f>VLOOKUP(A353,Sheet9!$A:$F,2,FALSE)</f>
        <v>60000000</v>
      </c>
      <c r="H353" s="9" t="str">
        <f>VLOOKUP(A353,Sheet9!$A:$F,3,FALSE )</f>
        <v>Gulberg</v>
      </c>
      <c r="I353" s="9" t="str">
        <f>VLOOKUP(A353,Sheet9!$A:$F,4,FALSE)</f>
        <v>Lahore</v>
      </c>
      <c r="J353" s="9" t="str">
        <f>VLOOKUP(A353,Sheet9!$A:$F,5,FALSE)</f>
        <v>Punjab</v>
      </c>
      <c r="K353" s="9" t="str">
        <f>VLOOKUP(A353,Sheet9!$A:$F,6,FALSE)</f>
        <v>For Sale</v>
      </c>
      <c r="L353" s="9">
        <f t="shared" si="5"/>
        <v>2</v>
      </c>
    </row>
    <row r="354" spans="1:12" ht="15" thickBot="1">
      <c r="A354" s="31">
        <v>4536854</v>
      </c>
      <c r="B354" s="35">
        <v>3852</v>
      </c>
      <c r="C354" s="35" t="s">
        <v>153</v>
      </c>
      <c r="D354" s="35">
        <v>0</v>
      </c>
      <c r="E354" s="35">
        <v>0</v>
      </c>
      <c r="F354" s="36">
        <v>43559</v>
      </c>
      <c r="G354" s="9">
        <f>VLOOKUP(A354,Sheet9!$A:$F,2,FALSE)</f>
        <v>1200000000</v>
      </c>
      <c r="H354" s="9" t="str">
        <f>VLOOKUP(A354,Sheet9!$A:$F,3,FALSE )</f>
        <v>Gulberg</v>
      </c>
      <c r="I354" s="9" t="str">
        <f>VLOOKUP(A354,Sheet9!$A:$F,4,FALSE)</f>
        <v>Lahore</v>
      </c>
      <c r="J354" s="9" t="str">
        <f>VLOOKUP(A354,Sheet9!$A:$F,5,FALSE)</f>
        <v>Punjab</v>
      </c>
      <c r="K354" s="9" t="str">
        <f>VLOOKUP(A354,Sheet9!$A:$F,6,FALSE)</f>
        <v>For Sale</v>
      </c>
      <c r="L354" s="9">
        <f t="shared" si="5"/>
        <v>2</v>
      </c>
    </row>
    <row r="355" spans="1:12" ht="29.5" thickBot="1">
      <c r="A355" s="31">
        <v>4543921</v>
      </c>
      <c r="B355" s="35">
        <v>426</v>
      </c>
      <c r="C355" s="35" t="s">
        <v>155</v>
      </c>
      <c r="D355" s="35">
        <v>2</v>
      </c>
      <c r="E355" s="35">
        <v>2</v>
      </c>
      <c r="F355" s="36">
        <v>43474</v>
      </c>
      <c r="G355" s="9">
        <f>VLOOKUP(A355,Sheet9!$A:$F,2,FALSE)</f>
        <v>12000</v>
      </c>
      <c r="H355" s="9" t="str">
        <f>VLOOKUP(A355,Sheet9!$A:$F,3,FALSE )</f>
        <v>Airport Housing Society</v>
      </c>
      <c r="I355" s="9" t="str">
        <f>VLOOKUP(A355,Sheet9!$A:$F,4,FALSE)</f>
        <v>Rawalpindi</v>
      </c>
      <c r="J355" s="9" t="str">
        <f>VLOOKUP(A355,Sheet9!$A:$F,5,FALSE)</f>
        <v>Punjab</v>
      </c>
      <c r="K355" s="9" t="str">
        <f>VLOOKUP(A355,Sheet9!$A:$F,6,FALSE)</f>
        <v>For Rent</v>
      </c>
      <c r="L355" s="9">
        <f t="shared" si="5"/>
        <v>2</v>
      </c>
    </row>
    <row r="356" spans="1:12" ht="15" thickBot="1">
      <c r="A356" s="31">
        <v>4557799</v>
      </c>
      <c r="B356" s="35">
        <v>3850</v>
      </c>
      <c r="C356" s="35" t="s">
        <v>153</v>
      </c>
      <c r="D356" s="35">
        <v>0</v>
      </c>
      <c r="E356" s="35">
        <v>0</v>
      </c>
      <c r="F356" s="36">
        <v>43588</v>
      </c>
      <c r="G356" s="9">
        <f>VLOOKUP(A356,Sheet9!$A:$F,2,FALSE)</f>
        <v>380000000</v>
      </c>
      <c r="H356" s="9" t="str">
        <f>VLOOKUP(A356,Sheet9!$A:$F,3,FALSE )</f>
        <v>Gulberg</v>
      </c>
      <c r="I356" s="9" t="str">
        <f>VLOOKUP(A356,Sheet9!$A:$F,4,FALSE)</f>
        <v>Lahore</v>
      </c>
      <c r="J356" s="9" t="str">
        <f>VLOOKUP(A356,Sheet9!$A:$F,5,FALSE)</f>
        <v>Punjab</v>
      </c>
      <c r="K356" s="9" t="str">
        <f>VLOOKUP(A356,Sheet9!$A:$F,6,FALSE)</f>
        <v>For Sale</v>
      </c>
      <c r="L356" s="9">
        <f t="shared" si="5"/>
        <v>2</v>
      </c>
    </row>
    <row r="357" spans="1:12" ht="15" thickBot="1">
      <c r="A357" s="31">
        <v>4560911</v>
      </c>
      <c r="B357" s="35">
        <v>496</v>
      </c>
      <c r="C357" s="35" t="s">
        <v>154</v>
      </c>
      <c r="D357" s="35">
        <v>2</v>
      </c>
      <c r="E357" s="35">
        <v>2</v>
      </c>
      <c r="F357" s="36">
        <v>43649</v>
      </c>
      <c r="G357" s="9">
        <f>VLOOKUP(A357,Sheet9!$A:$F,2,FALSE)</f>
        <v>3200000</v>
      </c>
      <c r="H357" s="9" t="str">
        <f>VLOOKUP(A357,Sheet9!$A:$F,3,FALSE )</f>
        <v>Mozang</v>
      </c>
      <c r="I357" s="9" t="str">
        <f>VLOOKUP(A357,Sheet9!$A:$F,4,FALSE)</f>
        <v>Lahore</v>
      </c>
      <c r="J357" s="9" t="str">
        <f>VLOOKUP(A357,Sheet9!$A:$F,5,FALSE)</f>
        <v>Punjab</v>
      </c>
      <c r="K357" s="9" t="str">
        <f>VLOOKUP(A357,Sheet9!$A:$F,6,FALSE)</f>
        <v>For Sale</v>
      </c>
      <c r="L357" s="9">
        <f t="shared" si="5"/>
        <v>2</v>
      </c>
    </row>
    <row r="358" spans="1:12" ht="15" thickBot="1">
      <c r="A358" s="31">
        <v>4570988</v>
      </c>
      <c r="B358" s="35">
        <v>1447</v>
      </c>
      <c r="C358" s="35" t="s">
        <v>153</v>
      </c>
      <c r="D358" s="35">
        <v>7</v>
      </c>
      <c r="E358" s="35">
        <v>6</v>
      </c>
      <c r="F358" s="36">
        <v>43588</v>
      </c>
      <c r="G358" s="9">
        <f>VLOOKUP(A358,Sheet9!$A:$F,2,FALSE)</f>
        <v>59800000</v>
      </c>
      <c r="H358" s="9" t="str">
        <f>VLOOKUP(A358,Sheet9!$A:$F,3,FALSE )</f>
        <v>DHA Defence</v>
      </c>
      <c r="I358" s="9" t="str">
        <f>VLOOKUP(A358,Sheet9!$A:$F,4,FALSE)</f>
        <v>Lahore</v>
      </c>
      <c r="J358" s="9" t="str">
        <f>VLOOKUP(A358,Sheet9!$A:$F,5,FALSE)</f>
        <v>Punjab</v>
      </c>
      <c r="K358" s="9" t="str">
        <f>VLOOKUP(A358,Sheet9!$A:$F,6,FALSE)</f>
        <v>For Sale</v>
      </c>
      <c r="L358" s="9">
        <f t="shared" si="5"/>
        <v>2</v>
      </c>
    </row>
    <row r="359" spans="1:12" ht="15" thickBot="1">
      <c r="A359" s="31">
        <v>4586042</v>
      </c>
      <c r="B359" s="35">
        <v>5990</v>
      </c>
      <c r="C359" s="35" t="s">
        <v>153</v>
      </c>
      <c r="D359" s="35">
        <v>5</v>
      </c>
      <c r="E359" s="35">
        <v>5</v>
      </c>
      <c r="F359" s="36">
        <v>43654</v>
      </c>
      <c r="G359" s="9">
        <f>VLOOKUP(A359,Sheet9!$A:$F,2,FALSE)</f>
        <v>85000</v>
      </c>
      <c r="H359" s="9" t="str">
        <f>VLOOKUP(A359,Sheet9!$A:$F,3,FALSE )</f>
        <v>Askari 12</v>
      </c>
      <c r="I359" s="9" t="str">
        <f>VLOOKUP(A359,Sheet9!$A:$F,4,FALSE)</f>
        <v>Rawalpindi</v>
      </c>
      <c r="J359" s="9" t="str">
        <f>VLOOKUP(A359,Sheet9!$A:$F,5,FALSE)</f>
        <v>Punjab</v>
      </c>
      <c r="K359" s="9" t="str">
        <f>VLOOKUP(A359,Sheet9!$A:$F,6,FALSE)</f>
        <v>For Rent</v>
      </c>
      <c r="L359" s="9">
        <f t="shared" si="5"/>
        <v>2</v>
      </c>
    </row>
    <row r="360" spans="1:12" ht="15" thickBot="1">
      <c r="A360" s="31">
        <v>4590970</v>
      </c>
      <c r="B360" s="35">
        <v>11970</v>
      </c>
      <c r="C360" s="35" t="s">
        <v>153</v>
      </c>
      <c r="D360" s="35">
        <v>7</v>
      </c>
      <c r="E360" s="35">
        <v>6</v>
      </c>
      <c r="F360" s="36">
        <v>43628</v>
      </c>
      <c r="G360" s="9">
        <f>VLOOKUP(A360,Sheet9!$A:$F,2,FALSE)</f>
        <v>30000000</v>
      </c>
      <c r="H360" s="9" t="str">
        <f>VLOOKUP(A360,Sheet9!$A:$F,3,FALSE )</f>
        <v>Bahria Town</v>
      </c>
      <c r="I360" s="9" t="str">
        <f>VLOOKUP(A360,Sheet9!$A:$F,4,FALSE)</f>
        <v>Islamabad</v>
      </c>
      <c r="J360" s="9" t="str">
        <f>VLOOKUP(A360,Sheet9!$A:$F,5,FALSE)</f>
        <v>Islamabad Capital</v>
      </c>
      <c r="K360" s="9" t="str">
        <f>VLOOKUP(A360,Sheet9!$A:$F,6,FALSE)</f>
        <v>For Sale</v>
      </c>
      <c r="L360" s="9">
        <f t="shared" si="5"/>
        <v>3</v>
      </c>
    </row>
    <row r="361" spans="1:12" ht="15" thickBot="1">
      <c r="A361" s="31">
        <v>4606306</v>
      </c>
      <c r="B361" s="35">
        <v>8399</v>
      </c>
      <c r="C361" s="35" t="s">
        <v>154</v>
      </c>
      <c r="D361" s="35">
        <v>1</v>
      </c>
      <c r="E361" s="35">
        <v>2</v>
      </c>
      <c r="F361" s="36">
        <v>43590</v>
      </c>
      <c r="G361" s="9">
        <f>VLOOKUP(A361,Sheet9!$A:$F,2,FALSE)</f>
        <v>17000</v>
      </c>
      <c r="H361" s="9" t="str">
        <f>VLOOKUP(A361,Sheet9!$A:$F,3,FALSE )</f>
        <v>DHA Defence</v>
      </c>
      <c r="I361" s="9" t="str">
        <f>VLOOKUP(A361,Sheet9!$A:$F,4,FALSE)</f>
        <v>Islamabad</v>
      </c>
      <c r="J361" s="9" t="str">
        <f>VLOOKUP(A361,Sheet9!$A:$F,5,FALSE)</f>
        <v>Islamabad Capital</v>
      </c>
      <c r="K361" s="9" t="str">
        <f>VLOOKUP(A361,Sheet9!$A:$F,6,FALSE)</f>
        <v>For Rent</v>
      </c>
      <c r="L361" s="9">
        <f t="shared" si="5"/>
        <v>3</v>
      </c>
    </row>
    <row r="362" spans="1:12" ht="15" thickBot="1">
      <c r="A362" s="31">
        <v>4612884</v>
      </c>
      <c r="B362" s="35">
        <v>9110</v>
      </c>
      <c r="C362" s="35" t="s">
        <v>154</v>
      </c>
      <c r="D362" s="35">
        <v>2</v>
      </c>
      <c r="E362" s="35">
        <v>2</v>
      </c>
      <c r="F362" s="36">
        <v>43393</v>
      </c>
      <c r="G362" s="9">
        <f>VLOOKUP(A362,Sheet9!$A:$F,2,FALSE)</f>
        <v>3760000</v>
      </c>
      <c r="H362" s="9" t="str">
        <f>VLOOKUP(A362,Sheet9!$A:$F,3,FALSE )</f>
        <v>PAF Housing Scheme</v>
      </c>
      <c r="I362" s="9" t="str">
        <f>VLOOKUP(A362,Sheet9!$A:$F,4,FALSE)</f>
        <v>Karachi</v>
      </c>
      <c r="J362" s="9" t="str">
        <f>VLOOKUP(A362,Sheet9!$A:$F,5,FALSE)</f>
        <v>Sindh</v>
      </c>
      <c r="K362" s="9" t="str">
        <f>VLOOKUP(A362,Sheet9!$A:$F,6,FALSE)</f>
        <v>For Sale</v>
      </c>
      <c r="L362" s="9">
        <f t="shared" si="5"/>
        <v>1</v>
      </c>
    </row>
    <row r="363" spans="1:12" ht="15" thickBot="1">
      <c r="A363" s="31">
        <v>4617764</v>
      </c>
      <c r="B363" s="35">
        <v>6878</v>
      </c>
      <c r="C363" s="35" t="s">
        <v>154</v>
      </c>
      <c r="D363" s="35">
        <v>2</v>
      </c>
      <c r="E363" s="35">
        <v>3</v>
      </c>
      <c r="F363" s="36">
        <v>43513</v>
      </c>
      <c r="G363" s="9">
        <f>VLOOKUP(A363,Sheet9!$A:$F,2,FALSE)</f>
        <v>30000000</v>
      </c>
      <c r="H363" s="9" t="str">
        <f>VLOOKUP(A363,Sheet9!$A:$F,3,FALSE )</f>
        <v>Gulshan-e-Iqbal Town</v>
      </c>
      <c r="I363" s="9" t="str">
        <f>VLOOKUP(A363,Sheet9!$A:$F,4,FALSE)</f>
        <v>Karachi</v>
      </c>
      <c r="J363" s="9" t="str">
        <f>VLOOKUP(A363,Sheet9!$A:$F,5,FALSE)</f>
        <v>Sindh</v>
      </c>
      <c r="K363" s="9" t="str">
        <f>VLOOKUP(A363,Sheet9!$A:$F,6,FALSE)</f>
        <v>For Sale</v>
      </c>
      <c r="L363" s="9">
        <f t="shared" si="5"/>
        <v>1</v>
      </c>
    </row>
    <row r="364" spans="1:12" ht="15" thickBot="1">
      <c r="A364" s="31">
        <v>4638791</v>
      </c>
      <c r="B364" s="35">
        <v>163</v>
      </c>
      <c r="C364" s="35" t="s">
        <v>153</v>
      </c>
      <c r="D364" s="35">
        <v>4</v>
      </c>
      <c r="E364" s="35">
        <v>4</v>
      </c>
      <c r="F364" s="36">
        <v>43657</v>
      </c>
      <c r="G364" s="9">
        <f>VLOOKUP(A364,Sheet9!$A:$F,2,FALSE)</f>
        <v>110000</v>
      </c>
      <c r="H364" s="9" t="str">
        <f>VLOOKUP(A364,Sheet9!$A:$F,3,FALSE )</f>
        <v>F-11</v>
      </c>
      <c r="I364" s="9" t="str">
        <f>VLOOKUP(A364,Sheet9!$A:$F,4,FALSE)</f>
        <v>Islamabad</v>
      </c>
      <c r="J364" s="9" t="str">
        <f>VLOOKUP(A364,Sheet9!$A:$F,5,FALSE)</f>
        <v>Islamabad Capital</v>
      </c>
      <c r="K364" s="9" t="str">
        <f>VLOOKUP(A364,Sheet9!$A:$F,6,FALSE)</f>
        <v>For Rent</v>
      </c>
      <c r="L364" s="9">
        <f t="shared" si="5"/>
        <v>3</v>
      </c>
    </row>
    <row r="365" spans="1:12" ht="29.5" thickBot="1">
      <c r="A365" s="31">
        <v>4638846</v>
      </c>
      <c r="B365" s="35">
        <v>163</v>
      </c>
      <c r="C365" s="35" t="s">
        <v>155</v>
      </c>
      <c r="D365" s="35">
        <v>3</v>
      </c>
      <c r="E365" s="35">
        <v>3</v>
      </c>
      <c r="F365" s="36">
        <v>43657</v>
      </c>
      <c r="G365" s="9">
        <f>VLOOKUP(A365,Sheet9!$A:$F,2,FALSE)</f>
        <v>80000</v>
      </c>
      <c r="H365" s="9" t="str">
        <f>VLOOKUP(A365,Sheet9!$A:$F,3,FALSE )</f>
        <v>F-11</v>
      </c>
      <c r="I365" s="9" t="str">
        <f>VLOOKUP(A365,Sheet9!$A:$F,4,FALSE)</f>
        <v>Islamabad</v>
      </c>
      <c r="J365" s="9" t="str">
        <f>VLOOKUP(A365,Sheet9!$A:$F,5,FALSE)</f>
        <v>Islamabad Capital</v>
      </c>
      <c r="K365" s="9" t="str">
        <f>VLOOKUP(A365,Sheet9!$A:$F,6,FALSE)</f>
        <v>For Rent</v>
      </c>
      <c r="L365" s="9">
        <f t="shared" si="5"/>
        <v>3</v>
      </c>
    </row>
    <row r="366" spans="1:12" ht="15" thickBot="1">
      <c r="A366" s="31">
        <v>4662336</v>
      </c>
      <c r="B366" s="35">
        <v>329</v>
      </c>
      <c r="C366" s="35" t="s">
        <v>153</v>
      </c>
      <c r="D366" s="35">
        <v>6</v>
      </c>
      <c r="E366" s="35">
        <v>6</v>
      </c>
      <c r="F366" s="36">
        <v>43657</v>
      </c>
      <c r="G366" s="9">
        <f>VLOOKUP(A366,Sheet9!$A:$F,2,FALSE)</f>
        <v>110000</v>
      </c>
      <c r="H366" s="9" t="str">
        <f>VLOOKUP(A366,Sheet9!$A:$F,3,FALSE )</f>
        <v>E-11</v>
      </c>
      <c r="I366" s="9" t="str">
        <f>VLOOKUP(A366,Sheet9!$A:$F,4,FALSE)</f>
        <v>Islamabad</v>
      </c>
      <c r="J366" s="9" t="str">
        <f>VLOOKUP(A366,Sheet9!$A:$F,5,FALSE)</f>
        <v>Islamabad Capital</v>
      </c>
      <c r="K366" s="9" t="str">
        <f>VLOOKUP(A366,Sheet9!$A:$F,6,FALSE)</f>
        <v>For Rent</v>
      </c>
      <c r="L366" s="9">
        <f t="shared" si="5"/>
        <v>3</v>
      </c>
    </row>
    <row r="367" spans="1:12" ht="15" thickBot="1">
      <c r="A367" s="31">
        <v>4676653</v>
      </c>
      <c r="B367" s="35">
        <v>6053</v>
      </c>
      <c r="C367" s="35" t="s">
        <v>153</v>
      </c>
      <c r="D367" s="35">
        <v>4</v>
      </c>
      <c r="E367" s="35">
        <v>3</v>
      </c>
      <c r="F367" s="36">
        <v>43629</v>
      </c>
      <c r="G367" s="9">
        <f>VLOOKUP(A367,Sheet9!$A:$F,2,FALSE)</f>
        <v>25000000</v>
      </c>
      <c r="H367" s="9" t="str">
        <f>VLOOKUP(A367,Sheet9!$A:$F,3,FALSE )</f>
        <v>Westridge</v>
      </c>
      <c r="I367" s="9" t="str">
        <f>VLOOKUP(A367,Sheet9!$A:$F,4,FALSE)</f>
        <v>Rawalpindi</v>
      </c>
      <c r="J367" s="9" t="str">
        <f>VLOOKUP(A367,Sheet9!$A:$F,5,FALSE)</f>
        <v>Punjab</v>
      </c>
      <c r="K367" s="9" t="str">
        <f>VLOOKUP(A367,Sheet9!$A:$F,6,FALSE)</f>
        <v>For Sale</v>
      </c>
      <c r="L367" s="9">
        <f t="shared" si="5"/>
        <v>2</v>
      </c>
    </row>
    <row r="368" spans="1:12" ht="15" thickBot="1">
      <c r="A368" s="31">
        <v>4677101</v>
      </c>
      <c r="B368" s="35">
        <v>8172</v>
      </c>
      <c r="C368" s="35" t="s">
        <v>153</v>
      </c>
      <c r="D368" s="35">
        <v>6</v>
      </c>
      <c r="E368" s="35">
        <v>6</v>
      </c>
      <c r="F368" s="36">
        <v>43641</v>
      </c>
      <c r="G368" s="9">
        <f>VLOOKUP(A368,Sheet9!$A:$F,2,FALSE)</f>
        <v>66000000</v>
      </c>
      <c r="H368" s="9" t="str">
        <f>VLOOKUP(A368,Sheet9!$A:$F,3,FALSE )</f>
        <v>DHA Defence</v>
      </c>
      <c r="I368" s="9" t="str">
        <f>VLOOKUP(A368,Sheet9!$A:$F,4,FALSE)</f>
        <v>Lahore</v>
      </c>
      <c r="J368" s="9" t="str">
        <f>VLOOKUP(A368,Sheet9!$A:$F,5,FALSE)</f>
        <v>Punjab</v>
      </c>
      <c r="K368" s="9" t="str">
        <f>VLOOKUP(A368,Sheet9!$A:$F,6,FALSE)</f>
        <v>For Sale</v>
      </c>
      <c r="L368" s="9">
        <f t="shared" si="5"/>
        <v>2</v>
      </c>
    </row>
    <row r="369" spans="1:12" ht="15" thickBot="1">
      <c r="A369" s="31">
        <v>4708049</v>
      </c>
      <c r="B369" s="35">
        <v>3041</v>
      </c>
      <c r="C369" s="35" t="s">
        <v>153</v>
      </c>
      <c r="D369" s="35">
        <v>6</v>
      </c>
      <c r="E369" s="35">
        <v>5</v>
      </c>
      <c r="F369" s="36">
        <v>43649</v>
      </c>
      <c r="G369" s="9">
        <f>VLOOKUP(A369,Sheet9!$A:$F,2,FALSE)</f>
        <v>22500000</v>
      </c>
      <c r="H369" s="9" t="str">
        <f>VLOOKUP(A369,Sheet9!$A:$F,3,FALSE )</f>
        <v>Bahria Town Rawalpindi</v>
      </c>
      <c r="I369" s="9" t="str">
        <f>VLOOKUP(A369,Sheet9!$A:$F,4,FALSE)</f>
        <v>Rawalpindi</v>
      </c>
      <c r="J369" s="9" t="str">
        <f>VLOOKUP(A369,Sheet9!$A:$F,5,FALSE)</f>
        <v>Punjab</v>
      </c>
      <c r="K369" s="9" t="str">
        <f>VLOOKUP(A369,Sheet9!$A:$F,6,FALSE)</f>
        <v>For Sale</v>
      </c>
      <c r="L369" s="9">
        <f t="shared" si="5"/>
        <v>2</v>
      </c>
    </row>
    <row r="370" spans="1:12" ht="15" thickBot="1">
      <c r="A370" s="31">
        <v>4709390</v>
      </c>
      <c r="B370" s="35">
        <v>3036</v>
      </c>
      <c r="C370" s="35" t="s">
        <v>153</v>
      </c>
      <c r="D370" s="35">
        <v>7</v>
      </c>
      <c r="E370" s="35">
        <v>6</v>
      </c>
      <c r="F370" s="36">
        <v>43320</v>
      </c>
      <c r="G370" s="9">
        <f>VLOOKUP(A370,Sheet9!$A:$F,2,FALSE)</f>
        <v>40000000</v>
      </c>
      <c r="H370" s="9" t="str">
        <f>VLOOKUP(A370,Sheet9!$A:$F,3,FALSE )</f>
        <v>Bahria Town Rawalpindi</v>
      </c>
      <c r="I370" s="9" t="str">
        <f>VLOOKUP(A370,Sheet9!$A:$F,4,FALSE)</f>
        <v>Rawalpindi</v>
      </c>
      <c r="J370" s="9" t="str">
        <f>VLOOKUP(A370,Sheet9!$A:$F,5,FALSE)</f>
        <v>Punjab</v>
      </c>
      <c r="K370" s="9" t="str">
        <f>VLOOKUP(A370,Sheet9!$A:$F,6,FALSE)</f>
        <v>For Sale</v>
      </c>
      <c r="L370" s="9">
        <f t="shared" si="5"/>
        <v>2</v>
      </c>
    </row>
    <row r="371" spans="1:12" ht="15" thickBot="1">
      <c r="A371" s="31">
        <v>4711877</v>
      </c>
      <c r="B371" s="35">
        <v>3035</v>
      </c>
      <c r="C371" s="35" t="s">
        <v>153</v>
      </c>
      <c r="D371" s="35">
        <v>6</v>
      </c>
      <c r="E371" s="35">
        <v>5</v>
      </c>
      <c r="F371" s="36">
        <v>43649</v>
      </c>
      <c r="G371" s="9">
        <f>VLOOKUP(A371,Sheet9!$A:$F,2,FALSE)</f>
        <v>38000000</v>
      </c>
      <c r="H371" s="9" t="str">
        <f>VLOOKUP(A371,Sheet9!$A:$F,3,FALSE )</f>
        <v>Bahria Town Rawalpindi</v>
      </c>
      <c r="I371" s="9" t="str">
        <f>VLOOKUP(A371,Sheet9!$A:$F,4,FALSE)</f>
        <v>Rawalpindi</v>
      </c>
      <c r="J371" s="9" t="str">
        <f>VLOOKUP(A371,Sheet9!$A:$F,5,FALSE)</f>
        <v>Punjab</v>
      </c>
      <c r="K371" s="9" t="str">
        <f>VLOOKUP(A371,Sheet9!$A:$F,6,FALSE)</f>
        <v>For Sale</v>
      </c>
      <c r="L371" s="9">
        <f t="shared" si="5"/>
        <v>2</v>
      </c>
    </row>
    <row r="372" spans="1:12" ht="15" thickBot="1">
      <c r="A372" s="31">
        <v>4721544</v>
      </c>
      <c r="B372" s="35">
        <v>9438</v>
      </c>
      <c r="C372" s="35" t="s">
        <v>154</v>
      </c>
      <c r="D372" s="35">
        <v>3</v>
      </c>
      <c r="E372" s="35">
        <v>3</v>
      </c>
      <c r="F372" s="36">
        <v>43410</v>
      </c>
      <c r="G372" s="9">
        <f>VLOOKUP(A372,Sheet9!$A:$F,2,FALSE)</f>
        <v>10000000</v>
      </c>
      <c r="H372" s="9" t="str">
        <f>VLOOKUP(A372,Sheet9!$A:$F,3,FALSE )</f>
        <v>Askari 1</v>
      </c>
      <c r="I372" s="9" t="str">
        <f>VLOOKUP(A372,Sheet9!$A:$F,4,FALSE)</f>
        <v>Rawalpindi</v>
      </c>
      <c r="J372" s="9" t="str">
        <f>VLOOKUP(A372,Sheet9!$A:$F,5,FALSE)</f>
        <v>Punjab</v>
      </c>
      <c r="K372" s="9" t="str">
        <f>VLOOKUP(A372,Sheet9!$A:$F,6,FALSE)</f>
        <v>For Sale</v>
      </c>
      <c r="L372" s="9">
        <f t="shared" si="5"/>
        <v>2</v>
      </c>
    </row>
    <row r="373" spans="1:12" ht="15" thickBot="1">
      <c r="A373" s="31">
        <v>4747413</v>
      </c>
      <c r="B373" s="35">
        <v>154</v>
      </c>
      <c r="C373" s="35" t="s">
        <v>153</v>
      </c>
      <c r="D373" s="35">
        <v>7</v>
      </c>
      <c r="E373" s="35">
        <v>5</v>
      </c>
      <c r="F373" s="36">
        <v>43646</v>
      </c>
      <c r="G373" s="9">
        <f>VLOOKUP(A373,Sheet9!$A:$F,2,FALSE)</f>
        <v>360000000</v>
      </c>
      <c r="H373" s="9" t="str">
        <f>VLOOKUP(A373,Sheet9!$A:$F,3,FALSE )</f>
        <v>Gulberg</v>
      </c>
      <c r="I373" s="9" t="str">
        <f>VLOOKUP(A373,Sheet9!$A:$F,4,FALSE)</f>
        <v>Lahore</v>
      </c>
      <c r="J373" s="9" t="str">
        <f>VLOOKUP(A373,Sheet9!$A:$F,5,FALSE)</f>
        <v>Punjab</v>
      </c>
      <c r="K373" s="9" t="str">
        <f>VLOOKUP(A373,Sheet9!$A:$F,6,FALSE)</f>
        <v>For Sale</v>
      </c>
      <c r="L373" s="9">
        <f t="shared" si="5"/>
        <v>2</v>
      </c>
    </row>
    <row r="374" spans="1:12" ht="15" thickBot="1">
      <c r="A374" s="31">
        <v>4777513</v>
      </c>
      <c r="B374" s="35">
        <v>7220</v>
      </c>
      <c r="C374" s="35" t="s">
        <v>153</v>
      </c>
      <c r="D374" s="35">
        <v>8</v>
      </c>
      <c r="E374" s="35">
        <v>8</v>
      </c>
      <c r="F374" s="36">
        <v>43649</v>
      </c>
      <c r="G374" s="9">
        <f>VLOOKUP(A374,Sheet9!$A:$F,2,FALSE)</f>
        <v>72500000</v>
      </c>
      <c r="H374" s="9" t="str">
        <f>VLOOKUP(A374,Sheet9!$A:$F,3,FALSE )</f>
        <v>North Nazimabad</v>
      </c>
      <c r="I374" s="9" t="str">
        <f>VLOOKUP(A374,Sheet9!$A:$F,4,FALSE)</f>
        <v>Karachi</v>
      </c>
      <c r="J374" s="9" t="str">
        <f>VLOOKUP(A374,Sheet9!$A:$F,5,FALSE)</f>
        <v>Sindh</v>
      </c>
      <c r="K374" s="9" t="str">
        <f>VLOOKUP(A374,Sheet9!$A:$F,6,FALSE)</f>
        <v>For Sale</v>
      </c>
      <c r="L374" s="9">
        <f t="shared" si="5"/>
        <v>1</v>
      </c>
    </row>
    <row r="375" spans="1:12" ht="15" thickBot="1">
      <c r="A375" s="31">
        <v>4784013</v>
      </c>
      <c r="B375" s="35">
        <v>3036</v>
      </c>
      <c r="C375" s="35" t="s">
        <v>153</v>
      </c>
      <c r="D375" s="35">
        <v>6</v>
      </c>
      <c r="E375" s="35">
        <v>5</v>
      </c>
      <c r="F375" s="36">
        <v>43649</v>
      </c>
      <c r="G375" s="9">
        <f>VLOOKUP(A375,Sheet9!$A:$F,2,FALSE)</f>
        <v>22500000</v>
      </c>
      <c r="H375" s="9" t="str">
        <f>VLOOKUP(A375,Sheet9!$A:$F,3,FALSE )</f>
        <v>Bahria Town Rawalpindi</v>
      </c>
      <c r="I375" s="9" t="str">
        <f>VLOOKUP(A375,Sheet9!$A:$F,4,FALSE)</f>
        <v>Rawalpindi</v>
      </c>
      <c r="J375" s="9" t="str">
        <f>VLOOKUP(A375,Sheet9!$A:$F,5,FALSE)</f>
        <v>Punjab</v>
      </c>
      <c r="K375" s="9" t="str">
        <f>VLOOKUP(A375,Sheet9!$A:$F,6,FALSE)</f>
        <v>For Sale</v>
      </c>
      <c r="L375" s="9">
        <f t="shared" si="5"/>
        <v>2</v>
      </c>
    </row>
    <row r="376" spans="1:12" ht="15" thickBot="1">
      <c r="A376" s="31">
        <v>4784194</v>
      </c>
      <c r="B376" s="35">
        <v>3041</v>
      </c>
      <c r="C376" s="35" t="s">
        <v>153</v>
      </c>
      <c r="D376" s="35">
        <v>7</v>
      </c>
      <c r="E376" s="35">
        <v>6</v>
      </c>
      <c r="F376" s="36">
        <v>43440</v>
      </c>
      <c r="G376" s="9">
        <f>VLOOKUP(A376,Sheet9!$A:$F,2,FALSE)</f>
        <v>40000000</v>
      </c>
      <c r="H376" s="9" t="str">
        <f>VLOOKUP(A376,Sheet9!$A:$F,3,FALSE )</f>
        <v>Bahria Town Rawalpindi</v>
      </c>
      <c r="I376" s="9" t="str">
        <f>VLOOKUP(A376,Sheet9!$A:$F,4,FALSE)</f>
        <v>Rawalpindi</v>
      </c>
      <c r="J376" s="9" t="str">
        <f>VLOOKUP(A376,Sheet9!$A:$F,5,FALSE)</f>
        <v>Punjab</v>
      </c>
      <c r="K376" s="9" t="str">
        <f>VLOOKUP(A376,Sheet9!$A:$F,6,FALSE)</f>
        <v>For Sale</v>
      </c>
      <c r="L376" s="9">
        <f t="shared" si="5"/>
        <v>2</v>
      </c>
    </row>
    <row r="377" spans="1:12" ht="15" thickBot="1">
      <c r="A377" s="31">
        <v>4787556</v>
      </c>
      <c r="B377" s="35">
        <v>9586</v>
      </c>
      <c r="C377" s="35" t="s">
        <v>153</v>
      </c>
      <c r="D377" s="35">
        <v>9</v>
      </c>
      <c r="E377" s="35">
        <v>8</v>
      </c>
      <c r="F377" s="36">
        <v>43630</v>
      </c>
      <c r="G377" s="9">
        <f>VLOOKUP(A377,Sheet9!$A:$F,2,FALSE)</f>
        <v>77500000</v>
      </c>
      <c r="H377" s="9" t="str">
        <f>VLOOKUP(A377,Sheet9!$A:$F,3,FALSE )</f>
        <v>Cantt</v>
      </c>
      <c r="I377" s="9" t="str">
        <f>VLOOKUP(A377,Sheet9!$A:$F,4,FALSE)</f>
        <v>Karachi</v>
      </c>
      <c r="J377" s="9" t="str">
        <f>VLOOKUP(A377,Sheet9!$A:$F,5,FALSE)</f>
        <v>Sindh</v>
      </c>
      <c r="K377" s="9" t="str">
        <f>VLOOKUP(A377,Sheet9!$A:$F,6,FALSE)</f>
        <v>For Sale</v>
      </c>
      <c r="L377" s="9">
        <f t="shared" si="5"/>
        <v>1</v>
      </c>
    </row>
    <row r="378" spans="1:12" ht="15" thickBot="1">
      <c r="A378" s="31">
        <v>4801631</v>
      </c>
      <c r="B378" s="35">
        <v>383</v>
      </c>
      <c r="C378" s="35" t="s">
        <v>153</v>
      </c>
      <c r="D378" s="35">
        <v>6</v>
      </c>
      <c r="E378" s="35">
        <v>5</v>
      </c>
      <c r="F378" s="36">
        <v>43500</v>
      </c>
      <c r="G378" s="9">
        <f>VLOOKUP(A378,Sheet9!$A:$F,2,FALSE)</f>
        <v>21000000</v>
      </c>
      <c r="H378" s="9" t="str">
        <f>VLOOKUP(A378,Sheet9!$A:$F,3,FALSE )</f>
        <v>Bahria Town</v>
      </c>
      <c r="I378" s="9" t="str">
        <f>VLOOKUP(A378,Sheet9!$A:$F,4,FALSE)</f>
        <v>Islamabad</v>
      </c>
      <c r="J378" s="9" t="str">
        <f>VLOOKUP(A378,Sheet9!$A:$F,5,FALSE)</f>
        <v>Islamabad Capital</v>
      </c>
      <c r="K378" s="9" t="str">
        <f>VLOOKUP(A378,Sheet9!$A:$F,6,FALSE)</f>
        <v>For Sale</v>
      </c>
      <c r="L378" s="9">
        <f t="shared" si="5"/>
        <v>3</v>
      </c>
    </row>
    <row r="379" spans="1:12" ht="15" thickBot="1">
      <c r="A379" s="31">
        <v>4805348</v>
      </c>
      <c r="B379" s="35">
        <v>524</v>
      </c>
      <c r="C379" s="35" t="s">
        <v>153</v>
      </c>
      <c r="D379" s="35">
        <v>7</v>
      </c>
      <c r="E379" s="35">
        <v>6</v>
      </c>
      <c r="F379" s="36">
        <v>43500</v>
      </c>
      <c r="G379" s="9">
        <f>VLOOKUP(A379,Sheet9!$A:$F,2,FALSE)</f>
        <v>120000000</v>
      </c>
      <c r="H379" s="9" t="str">
        <f>VLOOKUP(A379,Sheet9!$A:$F,3,FALSE )</f>
        <v>Gulshan-e-Iqbal Town</v>
      </c>
      <c r="I379" s="9" t="str">
        <f>VLOOKUP(A379,Sheet9!$A:$F,4,FALSE)</f>
        <v>Karachi</v>
      </c>
      <c r="J379" s="9" t="str">
        <f>VLOOKUP(A379,Sheet9!$A:$F,5,FALSE)</f>
        <v>Sindh</v>
      </c>
      <c r="K379" s="9" t="str">
        <f>VLOOKUP(A379,Sheet9!$A:$F,6,FALSE)</f>
        <v>For Sale</v>
      </c>
      <c r="L379" s="9">
        <f t="shared" si="5"/>
        <v>1</v>
      </c>
    </row>
    <row r="380" spans="1:12" ht="15" thickBot="1">
      <c r="A380" s="31">
        <v>4832995</v>
      </c>
      <c r="B380" s="35">
        <v>1483</v>
      </c>
      <c r="C380" s="35" t="s">
        <v>153</v>
      </c>
      <c r="D380" s="35">
        <v>3</v>
      </c>
      <c r="E380" s="35">
        <v>4</v>
      </c>
      <c r="F380" s="36">
        <v>43646</v>
      </c>
      <c r="G380" s="9">
        <f>VLOOKUP(A380,Sheet9!$A:$F,2,FALSE)</f>
        <v>120000000</v>
      </c>
      <c r="H380" s="9" t="str">
        <f>VLOOKUP(A380,Sheet9!$A:$F,3,FALSE )</f>
        <v>DHA Defence</v>
      </c>
      <c r="I380" s="9" t="str">
        <f>VLOOKUP(A380,Sheet9!$A:$F,4,FALSE)</f>
        <v>Karachi</v>
      </c>
      <c r="J380" s="9" t="str">
        <f>VLOOKUP(A380,Sheet9!$A:$F,5,FALSE)</f>
        <v>Sindh</v>
      </c>
      <c r="K380" s="9" t="str">
        <f>VLOOKUP(A380,Sheet9!$A:$F,6,FALSE)</f>
        <v>For Sale</v>
      </c>
      <c r="L380" s="9">
        <f t="shared" si="5"/>
        <v>1</v>
      </c>
    </row>
    <row r="381" spans="1:12" ht="15" thickBot="1">
      <c r="A381" s="31">
        <v>4858041</v>
      </c>
      <c r="B381" s="35">
        <v>1705</v>
      </c>
      <c r="C381" s="35" t="s">
        <v>154</v>
      </c>
      <c r="D381" s="35">
        <v>2</v>
      </c>
      <c r="E381" s="35">
        <v>2</v>
      </c>
      <c r="F381" s="36">
        <v>43642</v>
      </c>
      <c r="G381" s="9">
        <f>VLOOKUP(A381,Sheet9!$A:$F,2,FALSE)</f>
        <v>8000000</v>
      </c>
      <c r="H381" s="9" t="str">
        <f>VLOOKUP(A381,Sheet9!$A:$F,3,FALSE )</f>
        <v>Bahria Town</v>
      </c>
      <c r="I381" s="9" t="str">
        <f>VLOOKUP(A381,Sheet9!$A:$F,4,FALSE)</f>
        <v>Islamabad</v>
      </c>
      <c r="J381" s="9" t="str">
        <f>VLOOKUP(A381,Sheet9!$A:$F,5,FALSE)</f>
        <v>Islamabad Capital</v>
      </c>
      <c r="K381" s="9" t="str">
        <f>VLOOKUP(A381,Sheet9!$A:$F,6,FALSE)</f>
        <v>For Sale</v>
      </c>
      <c r="L381" s="9">
        <f t="shared" si="5"/>
        <v>3</v>
      </c>
    </row>
    <row r="382" spans="1:12" ht="15" thickBot="1">
      <c r="A382" s="31">
        <v>4880028</v>
      </c>
      <c r="B382" s="35">
        <v>3035</v>
      </c>
      <c r="C382" s="35" t="s">
        <v>153</v>
      </c>
      <c r="D382" s="35">
        <v>7</v>
      </c>
      <c r="E382" s="35">
        <v>6</v>
      </c>
      <c r="F382" s="36">
        <v>43320</v>
      </c>
      <c r="G382" s="9">
        <f>VLOOKUP(A382,Sheet9!$A:$F,2,FALSE)</f>
        <v>42000000</v>
      </c>
      <c r="H382" s="9" t="str">
        <f>VLOOKUP(A382,Sheet9!$A:$F,3,FALSE )</f>
        <v>Bahria Town Rawalpindi</v>
      </c>
      <c r="I382" s="9" t="str">
        <f>VLOOKUP(A382,Sheet9!$A:$F,4,FALSE)</f>
        <v>Rawalpindi</v>
      </c>
      <c r="J382" s="9" t="str">
        <f>VLOOKUP(A382,Sheet9!$A:$F,5,FALSE)</f>
        <v>Punjab</v>
      </c>
      <c r="K382" s="9" t="str">
        <f>VLOOKUP(A382,Sheet9!$A:$F,6,FALSE)</f>
        <v>For Sale</v>
      </c>
      <c r="L382" s="9">
        <f t="shared" si="5"/>
        <v>2</v>
      </c>
    </row>
    <row r="383" spans="1:12" ht="29.5" thickBot="1">
      <c r="A383" s="31">
        <v>4896334</v>
      </c>
      <c r="B383" s="35">
        <v>3282</v>
      </c>
      <c r="C383" s="35" t="s">
        <v>155</v>
      </c>
      <c r="D383" s="35">
        <v>3</v>
      </c>
      <c r="E383" s="35">
        <v>3</v>
      </c>
      <c r="F383" s="36">
        <v>43657</v>
      </c>
      <c r="G383" s="9">
        <f>VLOOKUP(A383,Sheet9!$A:$F,2,FALSE)</f>
        <v>75000</v>
      </c>
      <c r="H383" s="9" t="str">
        <f>VLOOKUP(A383,Sheet9!$A:$F,3,FALSE )</f>
        <v>F-11</v>
      </c>
      <c r="I383" s="9" t="str">
        <f>VLOOKUP(A383,Sheet9!$A:$F,4,FALSE)</f>
        <v>Islamabad</v>
      </c>
      <c r="J383" s="9" t="str">
        <f>VLOOKUP(A383,Sheet9!$A:$F,5,FALSE)</f>
        <v>Islamabad Capital</v>
      </c>
      <c r="K383" s="9" t="str">
        <f>VLOOKUP(A383,Sheet9!$A:$F,6,FALSE)</f>
        <v>For Rent</v>
      </c>
      <c r="L383" s="9">
        <f t="shared" si="5"/>
        <v>3</v>
      </c>
    </row>
    <row r="384" spans="1:12" ht="15" thickBot="1">
      <c r="A384" s="31">
        <v>4907568</v>
      </c>
      <c r="B384" s="35">
        <v>514</v>
      </c>
      <c r="C384" s="35" t="s">
        <v>153</v>
      </c>
      <c r="D384" s="35">
        <v>6</v>
      </c>
      <c r="E384" s="35">
        <v>5</v>
      </c>
      <c r="F384" s="36">
        <v>43483</v>
      </c>
      <c r="G384" s="9">
        <f>VLOOKUP(A384,Sheet9!$A:$F,2,FALSE)</f>
        <v>160000000</v>
      </c>
      <c r="H384" s="9" t="str">
        <f>VLOOKUP(A384,Sheet9!$A:$F,3,FALSE )</f>
        <v>Upper Mall</v>
      </c>
      <c r="I384" s="9" t="str">
        <f>VLOOKUP(A384,Sheet9!$A:$F,4,FALSE)</f>
        <v>Lahore</v>
      </c>
      <c r="J384" s="9" t="str">
        <f>VLOOKUP(A384,Sheet9!$A:$F,5,FALSE)</f>
        <v>Punjab</v>
      </c>
      <c r="K384" s="9" t="str">
        <f>VLOOKUP(A384,Sheet9!$A:$F,6,FALSE)</f>
        <v>For Sale</v>
      </c>
      <c r="L384" s="9">
        <f t="shared" si="5"/>
        <v>2</v>
      </c>
    </row>
    <row r="385" spans="1:12" ht="29.5" thickBot="1">
      <c r="A385" s="31">
        <v>4929389</v>
      </c>
      <c r="B385" s="35">
        <v>3197</v>
      </c>
      <c r="C385" s="35" t="s">
        <v>155</v>
      </c>
      <c r="D385" s="35">
        <v>3</v>
      </c>
      <c r="E385" s="35">
        <v>3</v>
      </c>
      <c r="F385" s="36">
        <v>43500</v>
      </c>
      <c r="G385" s="9">
        <f>VLOOKUP(A385,Sheet9!$A:$F,2,FALSE)</f>
        <v>45000</v>
      </c>
      <c r="H385" s="9" t="str">
        <f>VLOOKUP(A385,Sheet9!$A:$F,3,FALSE )</f>
        <v>DHA Defence</v>
      </c>
      <c r="I385" s="9" t="str">
        <f>VLOOKUP(A385,Sheet9!$A:$F,4,FALSE)</f>
        <v>Islamabad</v>
      </c>
      <c r="J385" s="9" t="str">
        <f>VLOOKUP(A385,Sheet9!$A:$F,5,FALSE)</f>
        <v>Islamabad Capital</v>
      </c>
      <c r="K385" s="9" t="str">
        <f>VLOOKUP(A385,Sheet9!$A:$F,6,FALSE)</f>
        <v>For Rent</v>
      </c>
      <c r="L385" s="9">
        <f t="shared" si="5"/>
        <v>3</v>
      </c>
    </row>
    <row r="386" spans="1:12" ht="15" thickBot="1">
      <c r="A386" s="31">
        <v>4931494</v>
      </c>
      <c r="B386" s="35">
        <v>329</v>
      </c>
      <c r="C386" s="35" t="s">
        <v>154</v>
      </c>
      <c r="D386" s="35">
        <v>2</v>
      </c>
      <c r="E386" s="35">
        <v>2</v>
      </c>
      <c r="F386" s="36">
        <v>43643</v>
      </c>
      <c r="G386" s="9">
        <f>VLOOKUP(A386,Sheet9!$A:$F,2,FALSE)</f>
        <v>5000000</v>
      </c>
      <c r="H386" s="9" t="str">
        <f>VLOOKUP(A386,Sheet9!$A:$F,3,FALSE )</f>
        <v>E-11</v>
      </c>
      <c r="I386" s="9" t="str">
        <f>VLOOKUP(A386,Sheet9!$A:$F,4,FALSE)</f>
        <v>Islamabad</v>
      </c>
      <c r="J386" s="9" t="str">
        <f>VLOOKUP(A386,Sheet9!$A:$F,5,FALSE)</f>
        <v>Islamabad Capital</v>
      </c>
      <c r="K386" s="9" t="str">
        <f>VLOOKUP(A386,Sheet9!$A:$F,6,FALSE)</f>
        <v>For Sale</v>
      </c>
      <c r="L386" s="9">
        <f t="shared" si="5"/>
        <v>3</v>
      </c>
    </row>
    <row r="387" spans="1:12" ht="15" thickBot="1">
      <c r="A387" s="31">
        <v>4931495</v>
      </c>
      <c r="B387" s="35">
        <v>329</v>
      </c>
      <c r="C387" s="35" t="s">
        <v>154</v>
      </c>
      <c r="D387" s="35">
        <v>1</v>
      </c>
      <c r="E387" s="35">
        <v>1</v>
      </c>
      <c r="F387" s="36">
        <v>43643</v>
      </c>
      <c r="G387" s="9">
        <f>VLOOKUP(A387,Sheet9!$A:$F,2,FALSE)</f>
        <v>3600000</v>
      </c>
      <c r="H387" s="9" t="str">
        <f>VLOOKUP(A387,Sheet9!$A:$F,3,FALSE )</f>
        <v>E-11</v>
      </c>
      <c r="I387" s="9" t="str">
        <f>VLOOKUP(A387,Sheet9!$A:$F,4,FALSE)</f>
        <v>Islamabad</v>
      </c>
      <c r="J387" s="9" t="str">
        <f>VLOOKUP(A387,Sheet9!$A:$F,5,FALSE)</f>
        <v>Islamabad Capital</v>
      </c>
      <c r="K387" s="9" t="str">
        <f>VLOOKUP(A387,Sheet9!$A:$F,6,FALSE)</f>
        <v>For Sale</v>
      </c>
      <c r="L387" s="9">
        <f t="shared" ref="L387:L450" si="6">HLOOKUP(J387,$N$1:$P$2,2,FALSE)</f>
        <v>3</v>
      </c>
    </row>
    <row r="388" spans="1:12" ht="15" thickBot="1">
      <c r="A388" s="31">
        <v>4931496</v>
      </c>
      <c r="B388" s="35">
        <v>329</v>
      </c>
      <c r="C388" s="35" t="s">
        <v>154</v>
      </c>
      <c r="D388" s="35">
        <v>2</v>
      </c>
      <c r="E388" s="35">
        <v>2</v>
      </c>
      <c r="F388" s="36">
        <v>43649</v>
      </c>
      <c r="G388" s="9">
        <f>VLOOKUP(A388,Sheet9!$A:$F,2,FALSE)</f>
        <v>4800000</v>
      </c>
      <c r="H388" s="9" t="str">
        <f>VLOOKUP(A388,Sheet9!$A:$F,3,FALSE )</f>
        <v>E-11</v>
      </c>
      <c r="I388" s="9" t="str">
        <f>VLOOKUP(A388,Sheet9!$A:$F,4,FALSE)</f>
        <v>Islamabad</v>
      </c>
      <c r="J388" s="9" t="str">
        <f>VLOOKUP(A388,Sheet9!$A:$F,5,FALSE)</f>
        <v>Islamabad Capital</v>
      </c>
      <c r="K388" s="9" t="str">
        <f>VLOOKUP(A388,Sheet9!$A:$F,6,FALSE)</f>
        <v>For Sale</v>
      </c>
      <c r="L388" s="9">
        <f t="shared" si="6"/>
        <v>3</v>
      </c>
    </row>
    <row r="389" spans="1:12" ht="15" thickBot="1">
      <c r="A389" s="31">
        <v>4931497</v>
      </c>
      <c r="B389" s="35">
        <v>3337</v>
      </c>
      <c r="C389" s="35" t="s">
        <v>153</v>
      </c>
      <c r="D389" s="35">
        <v>5</v>
      </c>
      <c r="E389" s="35">
        <v>5</v>
      </c>
      <c r="F389" s="36">
        <v>43590</v>
      </c>
      <c r="G389" s="9">
        <f>VLOOKUP(A389,Sheet9!$A:$F,2,FALSE)</f>
        <v>14000000</v>
      </c>
      <c r="H389" s="9" t="str">
        <f>VLOOKUP(A389,Sheet9!$A:$F,3,FALSE )</f>
        <v>G-13</v>
      </c>
      <c r="I389" s="9" t="str">
        <f>VLOOKUP(A389,Sheet9!$A:$F,4,FALSE)</f>
        <v>Islamabad</v>
      </c>
      <c r="J389" s="9" t="str">
        <f>VLOOKUP(A389,Sheet9!$A:$F,5,FALSE)</f>
        <v>Islamabad Capital</v>
      </c>
      <c r="K389" s="9" t="str">
        <f>VLOOKUP(A389,Sheet9!$A:$F,6,FALSE)</f>
        <v>For Sale</v>
      </c>
      <c r="L389" s="9">
        <f t="shared" si="6"/>
        <v>3</v>
      </c>
    </row>
    <row r="390" spans="1:12" ht="15" thickBot="1">
      <c r="A390" s="31">
        <v>4936563</v>
      </c>
      <c r="B390" s="35">
        <v>8503</v>
      </c>
      <c r="C390" s="35" t="s">
        <v>154</v>
      </c>
      <c r="D390" s="35">
        <v>5</v>
      </c>
      <c r="E390" s="35">
        <v>4</v>
      </c>
      <c r="F390" s="36">
        <v>43637</v>
      </c>
      <c r="G390" s="9">
        <f>VLOOKUP(A390,Sheet9!$A:$F,2,FALSE)</f>
        <v>75000000</v>
      </c>
      <c r="H390" s="9" t="str">
        <f>VLOOKUP(A390,Sheet9!$A:$F,3,FALSE )</f>
        <v>DHA Defence</v>
      </c>
      <c r="I390" s="9" t="str">
        <f>VLOOKUP(A390,Sheet9!$A:$F,4,FALSE)</f>
        <v>Karachi</v>
      </c>
      <c r="J390" s="9" t="str">
        <f>VLOOKUP(A390,Sheet9!$A:$F,5,FALSE)</f>
        <v>Sindh</v>
      </c>
      <c r="K390" s="9" t="str">
        <f>VLOOKUP(A390,Sheet9!$A:$F,6,FALSE)</f>
        <v>For Sale</v>
      </c>
      <c r="L390" s="9">
        <f t="shared" si="6"/>
        <v>1</v>
      </c>
    </row>
    <row r="391" spans="1:12" ht="15" thickBot="1">
      <c r="A391" s="31">
        <v>4938509</v>
      </c>
      <c r="B391" s="35">
        <v>6869</v>
      </c>
      <c r="C391" s="35" t="s">
        <v>153</v>
      </c>
      <c r="D391" s="35">
        <v>5</v>
      </c>
      <c r="E391" s="35">
        <v>5</v>
      </c>
      <c r="F391" s="36">
        <v>43513</v>
      </c>
      <c r="G391" s="9">
        <f>VLOOKUP(A391,Sheet9!$A:$F,2,FALSE)</f>
        <v>95000000</v>
      </c>
      <c r="H391" s="9" t="str">
        <f>VLOOKUP(A391,Sheet9!$A:$F,3,FALSE )</f>
        <v>Gulshan-e-Iqbal Town</v>
      </c>
      <c r="I391" s="9" t="str">
        <f>VLOOKUP(A391,Sheet9!$A:$F,4,FALSE)</f>
        <v>Karachi</v>
      </c>
      <c r="J391" s="9" t="str">
        <f>VLOOKUP(A391,Sheet9!$A:$F,5,FALSE)</f>
        <v>Sindh</v>
      </c>
      <c r="K391" s="9" t="str">
        <f>VLOOKUP(A391,Sheet9!$A:$F,6,FALSE)</f>
        <v>For Sale</v>
      </c>
      <c r="L391" s="9">
        <f t="shared" si="6"/>
        <v>1</v>
      </c>
    </row>
    <row r="392" spans="1:12" ht="29.5" thickBot="1">
      <c r="A392" s="31">
        <v>4939545</v>
      </c>
      <c r="B392" s="35">
        <v>516</v>
      </c>
      <c r="C392" s="35" t="s">
        <v>155</v>
      </c>
      <c r="D392" s="35">
        <v>3</v>
      </c>
      <c r="E392" s="35">
        <v>3</v>
      </c>
      <c r="F392" s="36">
        <v>43654</v>
      </c>
      <c r="G392" s="9">
        <f>VLOOKUP(A392,Sheet9!$A:$F,2,FALSE)</f>
        <v>75000</v>
      </c>
      <c r="H392" s="9" t="str">
        <f>VLOOKUP(A392,Sheet9!$A:$F,3,FALSE )</f>
        <v>Fazaia Colony</v>
      </c>
      <c r="I392" s="9" t="str">
        <f>VLOOKUP(A392,Sheet9!$A:$F,4,FALSE)</f>
        <v>Rawalpindi</v>
      </c>
      <c r="J392" s="9" t="str">
        <f>VLOOKUP(A392,Sheet9!$A:$F,5,FALSE)</f>
        <v>Punjab</v>
      </c>
      <c r="K392" s="9" t="str">
        <f>VLOOKUP(A392,Sheet9!$A:$F,6,FALSE)</f>
        <v>For Rent</v>
      </c>
      <c r="L392" s="9">
        <f t="shared" si="6"/>
        <v>2</v>
      </c>
    </row>
    <row r="393" spans="1:12" ht="15" thickBot="1">
      <c r="A393" s="31">
        <v>4940629</v>
      </c>
      <c r="B393" s="35">
        <v>8</v>
      </c>
      <c r="C393" s="35" t="s">
        <v>153</v>
      </c>
      <c r="D393" s="35">
        <v>3</v>
      </c>
      <c r="E393" s="35">
        <v>2</v>
      </c>
      <c r="F393" s="36">
        <v>43649</v>
      </c>
      <c r="G393" s="9">
        <f>VLOOKUP(A393,Sheet9!$A:$F,2,FALSE)</f>
        <v>8000000</v>
      </c>
      <c r="H393" s="9" t="str">
        <f>VLOOKUP(A393,Sheet9!$A:$F,3,FALSE )</f>
        <v>Model Town</v>
      </c>
      <c r="I393" s="9" t="str">
        <f>VLOOKUP(A393,Sheet9!$A:$F,4,FALSE)</f>
        <v>Lahore</v>
      </c>
      <c r="J393" s="9" t="str">
        <f>VLOOKUP(A393,Sheet9!$A:$F,5,FALSE)</f>
        <v>Punjab</v>
      </c>
      <c r="K393" s="9" t="str">
        <f>VLOOKUP(A393,Sheet9!$A:$F,6,FALSE)</f>
        <v>For Sale</v>
      </c>
      <c r="L393" s="9">
        <f t="shared" si="6"/>
        <v>2</v>
      </c>
    </row>
    <row r="394" spans="1:12" ht="15" thickBot="1">
      <c r="A394" s="31">
        <v>4951451</v>
      </c>
      <c r="B394" s="35">
        <v>7</v>
      </c>
      <c r="C394" s="35" t="s">
        <v>153</v>
      </c>
      <c r="D394" s="35">
        <v>0</v>
      </c>
      <c r="E394" s="35">
        <v>0</v>
      </c>
      <c r="F394" s="36">
        <v>43588</v>
      </c>
      <c r="G394" s="9">
        <f>VLOOKUP(A394,Sheet9!$A:$F,2,FALSE)</f>
        <v>480000000</v>
      </c>
      <c r="H394" s="9" t="str">
        <f>VLOOKUP(A394,Sheet9!$A:$F,3,FALSE )</f>
        <v>Gulberg</v>
      </c>
      <c r="I394" s="9" t="str">
        <f>VLOOKUP(A394,Sheet9!$A:$F,4,FALSE)</f>
        <v>Lahore</v>
      </c>
      <c r="J394" s="9" t="str">
        <f>VLOOKUP(A394,Sheet9!$A:$F,5,FALSE)</f>
        <v>Punjab</v>
      </c>
      <c r="K394" s="9" t="str">
        <f>VLOOKUP(A394,Sheet9!$A:$F,6,FALSE)</f>
        <v>For Sale</v>
      </c>
      <c r="L394" s="9">
        <f t="shared" si="6"/>
        <v>2</v>
      </c>
    </row>
    <row r="395" spans="1:12" ht="15" thickBot="1">
      <c r="A395" s="31">
        <v>4962614</v>
      </c>
      <c r="B395" s="35">
        <v>1314</v>
      </c>
      <c r="C395" s="35" t="s">
        <v>153</v>
      </c>
      <c r="D395" s="35">
        <v>5</v>
      </c>
      <c r="E395" s="35">
        <v>4</v>
      </c>
      <c r="F395" s="36">
        <v>43469</v>
      </c>
      <c r="G395" s="9">
        <f>VLOOKUP(A395,Sheet9!$A:$F,2,FALSE)</f>
        <v>14500000</v>
      </c>
      <c r="H395" s="9" t="str">
        <f>VLOOKUP(A395,Sheet9!$A:$F,3,FALSE )</f>
        <v>Ghauri Town</v>
      </c>
      <c r="I395" s="9" t="str">
        <f>VLOOKUP(A395,Sheet9!$A:$F,4,FALSE)</f>
        <v>Islamabad</v>
      </c>
      <c r="J395" s="9" t="str">
        <f>VLOOKUP(A395,Sheet9!$A:$F,5,FALSE)</f>
        <v>Islamabad Capital</v>
      </c>
      <c r="K395" s="9" t="str">
        <f>VLOOKUP(A395,Sheet9!$A:$F,6,FALSE)</f>
        <v>For Sale</v>
      </c>
      <c r="L395" s="9">
        <f t="shared" si="6"/>
        <v>3</v>
      </c>
    </row>
    <row r="396" spans="1:12" ht="15" thickBot="1">
      <c r="A396" s="31">
        <v>4965937</v>
      </c>
      <c r="B396" s="35">
        <v>3330</v>
      </c>
      <c r="C396" s="35" t="s">
        <v>153</v>
      </c>
      <c r="D396" s="35">
        <v>5</v>
      </c>
      <c r="E396" s="35">
        <v>5</v>
      </c>
      <c r="F396" s="36">
        <v>43645</v>
      </c>
      <c r="G396" s="9">
        <f>VLOOKUP(A396,Sheet9!$A:$F,2,FALSE)</f>
        <v>19000000</v>
      </c>
      <c r="H396" s="9" t="str">
        <f>VLOOKUP(A396,Sheet9!$A:$F,3,FALSE )</f>
        <v>G-11</v>
      </c>
      <c r="I396" s="9" t="str">
        <f>VLOOKUP(A396,Sheet9!$A:$F,4,FALSE)</f>
        <v>Islamabad</v>
      </c>
      <c r="J396" s="9" t="str">
        <f>VLOOKUP(A396,Sheet9!$A:$F,5,FALSE)</f>
        <v>Islamabad Capital</v>
      </c>
      <c r="K396" s="9" t="str">
        <f>VLOOKUP(A396,Sheet9!$A:$F,6,FALSE)</f>
        <v>For Sale</v>
      </c>
      <c r="L396" s="9">
        <f t="shared" si="6"/>
        <v>3</v>
      </c>
    </row>
    <row r="397" spans="1:12" ht="15" thickBot="1">
      <c r="A397" s="31">
        <v>4970767</v>
      </c>
      <c r="B397" s="35">
        <v>6655</v>
      </c>
      <c r="C397" s="35" t="s">
        <v>154</v>
      </c>
      <c r="D397" s="35">
        <v>3</v>
      </c>
      <c r="E397" s="35">
        <v>3</v>
      </c>
      <c r="F397" s="36">
        <v>43574</v>
      </c>
      <c r="G397" s="9">
        <f>VLOOKUP(A397,Sheet9!$A:$F,2,FALSE)</f>
        <v>65000</v>
      </c>
      <c r="H397" s="9" t="str">
        <f>VLOOKUP(A397,Sheet9!$A:$F,3,FALSE )</f>
        <v>Cantt</v>
      </c>
      <c r="I397" s="9" t="str">
        <f>VLOOKUP(A397,Sheet9!$A:$F,4,FALSE)</f>
        <v>Karachi</v>
      </c>
      <c r="J397" s="9" t="str">
        <f>VLOOKUP(A397,Sheet9!$A:$F,5,FALSE)</f>
        <v>Sindh</v>
      </c>
      <c r="K397" s="9" t="str">
        <f>VLOOKUP(A397,Sheet9!$A:$F,6,FALSE)</f>
        <v>For Rent</v>
      </c>
      <c r="L397" s="9">
        <f t="shared" si="6"/>
        <v>1</v>
      </c>
    </row>
    <row r="398" spans="1:12" ht="15" thickBot="1">
      <c r="A398" s="31">
        <v>4975101</v>
      </c>
      <c r="B398" s="35">
        <v>576</v>
      </c>
      <c r="C398" s="35" t="s">
        <v>153</v>
      </c>
      <c r="D398" s="35">
        <v>8</v>
      </c>
      <c r="E398" s="35">
        <v>8</v>
      </c>
      <c r="F398" s="36">
        <v>43500</v>
      </c>
      <c r="G398" s="9">
        <f>VLOOKUP(A398,Sheet9!$A:$F,2,FALSE)</f>
        <v>40000000</v>
      </c>
      <c r="H398" s="9" t="str">
        <f>VLOOKUP(A398,Sheet9!$A:$F,3,FALSE )</f>
        <v>Lalazar</v>
      </c>
      <c r="I398" s="9" t="str">
        <f>VLOOKUP(A398,Sheet9!$A:$F,4,FALSE)</f>
        <v>Rawalpindi</v>
      </c>
      <c r="J398" s="9" t="str">
        <f>VLOOKUP(A398,Sheet9!$A:$F,5,FALSE)</f>
        <v>Punjab</v>
      </c>
      <c r="K398" s="9" t="str">
        <f>VLOOKUP(A398,Sheet9!$A:$F,6,FALSE)</f>
        <v>For Sale</v>
      </c>
      <c r="L398" s="9">
        <f t="shared" si="6"/>
        <v>2</v>
      </c>
    </row>
    <row r="399" spans="1:12" ht="15" thickBot="1">
      <c r="A399" s="31">
        <v>4976670</v>
      </c>
      <c r="B399" s="35">
        <v>6655</v>
      </c>
      <c r="C399" s="35" t="s">
        <v>154</v>
      </c>
      <c r="D399" s="35">
        <v>3</v>
      </c>
      <c r="E399" s="35">
        <v>3</v>
      </c>
      <c r="F399" s="36">
        <v>43636</v>
      </c>
      <c r="G399" s="9">
        <f>VLOOKUP(A399,Sheet9!$A:$F,2,FALSE)</f>
        <v>35100000</v>
      </c>
      <c r="H399" s="9" t="str">
        <f>VLOOKUP(A399,Sheet9!$A:$F,3,FALSE )</f>
        <v>Cantt</v>
      </c>
      <c r="I399" s="9" t="str">
        <f>VLOOKUP(A399,Sheet9!$A:$F,4,FALSE)</f>
        <v>Karachi</v>
      </c>
      <c r="J399" s="9" t="str">
        <f>VLOOKUP(A399,Sheet9!$A:$F,5,FALSE)</f>
        <v>Sindh</v>
      </c>
      <c r="K399" s="9" t="str">
        <f>VLOOKUP(A399,Sheet9!$A:$F,6,FALSE)</f>
        <v>For Sale</v>
      </c>
      <c r="L399" s="9">
        <f t="shared" si="6"/>
        <v>1</v>
      </c>
    </row>
    <row r="400" spans="1:12" ht="15" thickBot="1">
      <c r="A400" s="31">
        <v>4976675</v>
      </c>
      <c r="B400" s="35">
        <v>6655</v>
      </c>
      <c r="C400" s="35" t="s">
        <v>153</v>
      </c>
      <c r="D400" s="35">
        <v>6</v>
      </c>
      <c r="E400" s="35">
        <v>5</v>
      </c>
      <c r="F400" s="36">
        <v>43573</v>
      </c>
      <c r="G400" s="9">
        <f>VLOOKUP(A400,Sheet9!$A:$F,2,FALSE)</f>
        <v>110000</v>
      </c>
      <c r="H400" s="9" t="str">
        <f>VLOOKUP(A400,Sheet9!$A:$F,3,FALSE )</f>
        <v>Cantt</v>
      </c>
      <c r="I400" s="9" t="str">
        <f>VLOOKUP(A400,Sheet9!$A:$F,4,FALSE)</f>
        <v>Karachi</v>
      </c>
      <c r="J400" s="9" t="str">
        <f>VLOOKUP(A400,Sheet9!$A:$F,5,FALSE)</f>
        <v>Sindh</v>
      </c>
      <c r="K400" s="9" t="str">
        <f>VLOOKUP(A400,Sheet9!$A:$F,6,FALSE)</f>
        <v>For Rent</v>
      </c>
      <c r="L400" s="9">
        <f t="shared" si="6"/>
        <v>1</v>
      </c>
    </row>
    <row r="401" spans="1:12" ht="15" thickBot="1">
      <c r="A401" s="31">
        <v>4977257</v>
      </c>
      <c r="B401" s="35">
        <v>9586</v>
      </c>
      <c r="C401" s="35" t="s">
        <v>153</v>
      </c>
      <c r="D401" s="35">
        <v>6</v>
      </c>
      <c r="E401" s="35">
        <v>6</v>
      </c>
      <c r="F401" s="36">
        <v>43591</v>
      </c>
      <c r="G401" s="9">
        <f>VLOOKUP(A401,Sheet9!$A:$F,2,FALSE)</f>
        <v>70000000</v>
      </c>
      <c r="H401" s="9" t="str">
        <f>VLOOKUP(A401,Sheet9!$A:$F,3,FALSE )</f>
        <v>Cantt</v>
      </c>
      <c r="I401" s="9" t="str">
        <f>VLOOKUP(A401,Sheet9!$A:$F,4,FALSE)</f>
        <v>Karachi</v>
      </c>
      <c r="J401" s="9" t="str">
        <f>VLOOKUP(A401,Sheet9!$A:$F,5,FALSE)</f>
        <v>Sindh</v>
      </c>
      <c r="K401" s="9" t="str">
        <f>VLOOKUP(A401,Sheet9!$A:$F,6,FALSE)</f>
        <v>For Sale</v>
      </c>
      <c r="L401" s="9">
        <f t="shared" si="6"/>
        <v>1</v>
      </c>
    </row>
    <row r="402" spans="1:12" ht="15" thickBot="1">
      <c r="A402" s="31">
        <v>4977264</v>
      </c>
      <c r="B402" s="35">
        <v>6655</v>
      </c>
      <c r="C402" s="35" t="s">
        <v>153</v>
      </c>
      <c r="D402" s="35">
        <v>5</v>
      </c>
      <c r="E402" s="35">
        <v>4</v>
      </c>
      <c r="F402" s="36">
        <v>43636</v>
      </c>
      <c r="G402" s="9">
        <f>VLOOKUP(A402,Sheet9!$A:$F,2,FALSE)</f>
        <v>60000000</v>
      </c>
      <c r="H402" s="9" t="str">
        <f>VLOOKUP(A402,Sheet9!$A:$F,3,FALSE )</f>
        <v>Cantt</v>
      </c>
      <c r="I402" s="9" t="str">
        <f>VLOOKUP(A402,Sheet9!$A:$F,4,FALSE)</f>
        <v>Karachi</v>
      </c>
      <c r="J402" s="9" t="str">
        <f>VLOOKUP(A402,Sheet9!$A:$F,5,FALSE)</f>
        <v>Sindh</v>
      </c>
      <c r="K402" s="9" t="str">
        <f>VLOOKUP(A402,Sheet9!$A:$F,6,FALSE)</f>
        <v>For Sale</v>
      </c>
      <c r="L402" s="9">
        <f t="shared" si="6"/>
        <v>1</v>
      </c>
    </row>
    <row r="403" spans="1:12" ht="15" thickBot="1">
      <c r="A403" s="31">
        <v>4985797</v>
      </c>
      <c r="B403" s="35">
        <v>3301</v>
      </c>
      <c r="C403" s="35" t="s">
        <v>153</v>
      </c>
      <c r="D403" s="35">
        <v>10</v>
      </c>
      <c r="E403" s="35">
        <v>9</v>
      </c>
      <c r="F403" s="36">
        <v>43646</v>
      </c>
      <c r="G403" s="9">
        <f>VLOOKUP(A403,Sheet9!$A:$F,2,FALSE)</f>
        <v>850000000</v>
      </c>
      <c r="H403" s="9" t="str">
        <f>VLOOKUP(A403,Sheet9!$A:$F,3,FALSE )</f>
        <v>F-6</v>
      </c>
      <c r="I403" s="9" t="str">
        <f>VLOOKUP(A403,Sheet9!$A:$F,4,FALSE)</f>
        <v>Islamabad</v>
      </c>
      <c r="J403" s="9" t="str">
        <f>VLOOKUP(A403,Sheet9!$A:$F,5,FALSE)</f>
        <v>Islamabad Capital</v>
      </c>
      <c r="K403" s="9" t="str">
        <f>VLOOKUP(A403,Sheet9!$A:$F,6,FALSE)</f>
        <v>For Sale</v>
      </c>
      <c r="L403" s="9">
        <f t="shared" si="6"/>
        <v>3</v>
      </c>
    </row>
    <row r="404" spans="1:12" ht="15" thickBot="1">
      <c r="A404" s="31">
        <v>5000283</v>
      </c>
      <c r="B404" s="35">
        <v>1156</v>
      </c>
      <c r="C404" s="35" t="s">
        <v>153</v>
      </c>
      <c r="D404" s="35">
        <v>5</v>
      </c>
      <c r="E404" s="35">
        <v>4</v>
      </c>
      <c r="F404" s="36">
        <v>43423</v>
      </c>
      <c r="G404" s="9">
        <f>VLOOKUP(A404,Sheet9!$A:$F,2,FALSE)</f>
        <v>8900000</v>
      </c>
      <c r="H404" s="9" t="str">
        <f>VLOOKUP(A404,Sheet9!$A:$F,3,FALSE )</f>
        <v>Muslim Town</v>
      </c>
      <c r="I404" s="9" t="str">
        <f>VLOOKUP(A404,Sheet9!$A:$F,4,FALSE)</f>
        <v>Faisalabad</v>
      </c>
      <c r="J404" s="9" t="str">
        <f>VLOOKUP(A404,Sheet9!$A:$F,5,FALSE)</f>
        <v>Punjab</v>
      </c>
      <c r="K404" s="9" t="str">
        <f>VLOOKUP(A404,Sheet9!$A:$F,6,FALSE)</f>
        <v>For Sale</v>
      </c>
      <c r="L404" s="9">
        <f t="shared" si="6"/>
        <v>2</v>
      </c>
    </row>
    <row r="405" spans="1:12" ht="15" thickBot="1">
      <c r="A405" s="31">
        <v>5001565</v>
      </c>
      <c r="B405" s="35">
        <v>3241</v>
      </c>
      <c r="C405" s="35" t="s">
        <v>154</v>
      </c>
      <c r="D405" s="35">
        <v>0</v>
      </c>
      <c r="E405" s="35">
        <v>0</v>
      </c>
      <c r="F405" s="36">
        <v>43643</v>
      </c>
      <c r="G405" s="9">
        <f>VLOOKUP(A405,Sheet9!$A:$F,2,FALSE)</f>
        <v>5000000</v>
      </c>
      <c r="H405" s="9" t="str">
        <f>VLOOKUP(A405,Sheet9!$A:$F,3,FALSE )</f>
        <v>E-11</v>
      </c>
      <c r="I405" s="9" t="str">
        <f>VLOOKUP(A405,Sheet9!$A:$F,4,FALSE)</f>
        <v>Islamabad</v>
      </c>
      <c r="J405" s="9" t="str">
        <f>VLOOKUP(A405,Sheet9!$A:$F,5,FALSE)</f>
        <v>Islamabad Capital</v>
      </c>
      <c r="K405" s="9" t="str">
        <f>VLOOKUP(A405,Sheet9!$A:$F,6,FALSE)</f>
        <v>For Sale</v>
      </c>
      <c r="L405" s="9">
        <f t="shared" si="6"/>
        <v>3</v>
      </c>
    </row>
    <row r="406" spans="1:12" ht="29.5" thickBot="1">
      <c r="A406" s="31">
        <v>5004198</v>
      </c>
      <c r="B406" s="35">
        <v>9586</v>
      </c>
      <c r="C406" s="35" t="s">
        <v>155</v>
      </c>
      <c r="D406" s="35">
        <v>5</v>
      </c>
      <c r="E406" s="35">
        <v>3</v>
      </c>
      <c r="F406" s="36">
        <v>43573</v>
      </c>
      <c r="G406" s="9">
        <f>VLOOKUP(A406,Sheet9!$A:$F,2,FALSE)</f>
        <v>75000</v>
      </c>
      <c r="H406" s="9" t="str">
        <f>VLOOKUP(A406,Sheet9!$A:$F,3,FALSE )</f>
        <v>Cantt</v>
      </c>
      <c r="I406" s="9" t="str">
        <f>VLOOKUP(A406,Sheet9!$A:$F,4,FALSE)</f>
        <v>Karachi</v>
      </c>
      <c r="J406" s="9" t="str">
        <f>VLOOKUP(A406,Sheet9!$A:$F,5,FALSE)</f>
        <v>Sindh</v>
      </c>
      <c r="K406" s="9" t="str">
        <f>VLOOKUP(A406,Sheet9!$A:$F,6,FALSE)</f>
        <v>For Rent</v>
      </c>
      <c r="L406" s="9">
        <f t="shared" si="6"/>
        <v>1</v>
      </c>
    </row>
    <row r="407" spans="1:12" ht="15" thickBot="1">
      <c r="A407" s="31">
        <v>5015747</v>
      </c>
      <c r="B407" s="35">
        <v>5</v>
      </c>
      <c r="C407" s="35" t="s">
        <v>154</v>
      </c>
      <c r="D407" s="35">
        <v>5</v>
      </c>
      <c r="E407" s="35">
        <v>3</v>
      </c>
      <c r="F407" s="36">
        <v>43649</v>
      </c>
      <c r="G407" s="9">
        <f>VLOOKUP(A407,Sheet9!$A:$F,2,FALSE)</f>
        <v>48000000</v>
      </c>
      <c r="H407" s="9" t="str">
        <f>VLOOKUP(A407,Sheet9!$A:$F,3,FALSE )</f>
        <v>Clifton</v>
      </c>
      <c r="I407" s="9" t="str">
        <f>VLOOKUP(A407,Sheet9!$A:$F,4,FALSE)</f>
        <v>Karachi</v>
      </c>
      <c r="J407" s="9" t="str">
        <f>VLOOKUP(A407,Sheet9!$A:$F,5,FALSE)</f>
        <v>Sindh</v>
      </c>
      <c r="K407" s="9" t="str">
        <f>VLOOKUP(A407,Sheet9!$A:$F,6,FALSE)</f>
        <v>For Sale</v>
      </c>
      <c r="L407" s="9">
        <f t="shared" si="6"/>
        <v>1</v>
      </c>
    </row>
    <row r="408" spans="1:12" ht="15" thickBot="1">
      <c r="A408" s="31">
        <v>5015841</v>
      </c>
      <c r="B408" s="35">
        <v>198</v>
      </c>
      <c r="C408" s="35" t="s">
        <v>154</v>
      </c>
      <c r="D408" s="35">
        <v>5</v>
      </c>
      <c r="E408" s="35">
        <v>3</v>
      </c>
      <c r="F408" s="36">
        <v>43650</v>
      </c>
      <c r="G408" s="9">
        <f>VLOOKUP(A408,Sheet9!$A:$F,2,FALSE)</f>
        <v>135000</v>
      </c>
      <c r="H408" s="9" t="str">
        <f>VLOOKUP(A408,Sheet9!$A:$F,3,FALSE )</f>
        <v>Bath Island</v>
      </c>
      <c r="I408" s="9" t="str">
        <f>VLOOKUP(A408,Sheet9!$A:$F,4,FALSE)</f>
        <v>Karachi</v>
      </c>
      <c r="J408" s="9" t="str">
        <f>VLOOKUP(A408,Sheet9!$A:$F,5,FALSE)</f>
        <v>Sindh</v>
      </c>
      <c r="K408" s="9" t="str">
        <f>VLOOKUP(A408,Sheet9!$A:$F,6,FALSE)</f>
        <v>For Rent</v>
      </c>
      <c r="L408" s="9">
        <f t="shared" si="6"/>
        <v>1</v>
      </c>
    </row>
    <row r="409" spans="1:12" ht="29.5" thickBot="1">
      <c r="A409" s="31">
        <v>5018062</v>
      </c>
      <c r="B409" s="35">
        <v>9586</v>
      </c>
      <c r="C409" s="35" t="s">
        <v>155</v>
      </c>
      <c r="D409" s="35">
        <v>3</v>
      </c>
      <c r="E409" s="35">
        <v>3</v>
      </c>
      <c r="F409" s="36">
        <v>43514</v>
      </c>
      <c r="G409" s="9">
        <f>VLOOKUP(A409,Sheet9!$A:$F,2,FALSE)</f>
        <v>75000</v>
      </c>
      <c r="H409" s="9" t="str">
        <f>VLOOKUP(A409,Sheet9!$A:$F,3,FALSE )</f>
        <v>Cantt</v>
      </c>
      <c r="I409" s="9" t="str">
        <f>VLOOKUP(A409,Sheet9!$A:$F,4,FALSE)</f>
        <v>Karachi</v>
      </c>
      <c r="J409" s="9" t="str">
        <f>VLOOKUP(A409,Sheet9!$A:$F,5,FALSE)</f>
        <v>Sindh</v>
      </c>
      <c r="K409" s="9" t="str">
        <f>VLOOKUP(A409,Sheet9!$A:$F,6,FALSE)</f>
        <v>For Rent</v>
      </c>
      <c r="L409" s="9">
        <f t="shared" si="6"/>
        <v>1</v>
      </c>
    </row>
    <row r="410" spans="1:12" ht="15" thickBot="1">
      <c r="A410" s="31">
        <v>5019310</v>
      </c>
      <c r="B410" s="35">
        <v>1534</v>
      </c>
      <c r="C410" s="35" t="s">
        <v>154</v>
      </c>
      <c r="D410" s="35">
        <v>0</v>
      </c>
      <c r="E410" s="35">
        <v>0</v>
      </c>
      <c r="F410" s="36">
        <v>43558</v>
      </c>
      <c r="G410" s="9">
        <f>VLOOKUP(A410,Sheet9!$A:$F,2,FALSE)</f>
        <v>22500000</v>
      </c>
      <c r="H410" s="9" t="str">
        <f>VLOOKUP(A410,Sheet9!$A:$F,3,FALSE )</f>
        <v>Garden Town</v>
      </c>
      <c r="I410" s="9" t="str">
        <f>VLOOKUP(A410,Sheet9!$A:$F,4,FALSE)</f>
        <v>Lahore</v>
      </c>
      <c r="J410" s="9" t="str">
        <f>VLOOKUP(A410,Sheet9!$A:$F,5,FALSE)</f>
        <v>Punjab</v>
      </c>
      <c r="K410" s="9" t="str">
        <f>VLOOKUP(A410,Sheet9!$A:$F,6,FALSE)</f>
        <v>For Sale</v>
      </c>
      <c r="L410" s="9">
        <f t="shared" si="6"/>
        <v>2</v>
      </c>
    </row>
    <row r="411" spans="1:12" ht="15" thickBot="1">
      <c r="A411" s="31">
        <v>5027258</v>
      </c>
      <c r="B411" s="35">
        <v>5</v>
      </c>
      <c r="C411" s="35" t="s">
        <v>154</v>
      </c>
      <c r="D411" s="35">
        <v>5</v>
      </c>
      <c r="E411" s="35">
        <v>3</v>
      </c>
      <c r="F411" s="36">
        <v>43649</v>
      </c>
      <c r="G411" s="9">
        <f>VLOOKUP(A411,Sheet9!$A:$F,2,FALSE)</f>
        <v>50000000</v>
      </c>
      <c r="H411" s="9" t="str">
        <f>VLOOKUP(A411,Sheet9!$A:$F,3,FALSE )</f>
        <v>Clifton</v>
      </c>
      <c r="I411" s="9" t="str">
        <f>VLOOKUP(A411,Sheet9!$A:$F,4,FALSE)</f>
        <v>Karachi</v>
      </c>
      <c r="J411" s="9" t="str">
        <f>VLOOKUP(A411,Sheet9!$A:$F,5,FALSE)</f>
        <v>Sindh</v>
      </c>
      <c r="K411" s="9" t="str">
        <f>VLOOKUP(A411,Sheet9!$A:$F,6,FALSE)</f>
        <v>For Sale</v>
      </c>
      <c r="L411" s="9">
        <f t="shared" si="6"/>
        <v>1</v>
      </c>
    </row>
    <row r="412" spans="1:12" ht="15" thickBot="1">
      <c r="A412" s="31">
        <v>5028601</v>
      </c>
      <c r="B412" s="35">
        <v>10139</v>
      </c>
      <c r="C412" s="35" t="s">
        <v>153</v>
      </c>
      <c r="D412" s="35">
        <v>4</v>
      </c>
      <c r="E412" s="35">
        <v>5</v>
      </c>
      <c r="F412" s="36">
        <v>43469</v>
      </c>
      <c r="G412" s="9">
        <f>VLOOKUP(A412,Sheet9!$A:$F,2,FALSE)</f>
        <v>17000000</v>
      </c>
      <c r="H412" s="9" t="str">
        <f>VLOOKUP(A412,Sheet9!$A:$F,3,FALSE )</f>
        <v>Sultan Pura</v>
      </c>
      <c r="I412" s="9" t="str">
        <f>VLOOKUP(A412,Sheet9!$A:$F,4,FALSE)</f>
        <v>Lahore</v>
      </c>
      <c r="J412" s="9" t="str">
        <f>VLOOKUP(A412,Sheet9!$A:$F,5,FALSE)</f>
        <v>Punjab</v>
      </c>
      <c r="K412" s="9" t="str">
        <f>VLOOKUP(A412,Sheet9!$A:$F,6,FALSE)</f>
        <v>For Sale</v>
      </c>
      <c r="L412" s="9">
        <f t="shared" si="6"/>
        <v>2</v>
      </c>
    </row>
    <row r="413" spans="1:12" ht="29.5" thickBot="1">
      <c r="A413" s="31">
        <v>5033637</v>
      </c>
      <c r="B413" s="35">
        <v>3035</v>
      </c>
      <c r="C413" s="35" t="s">
        <v>155</v>
      </c>
      <c r="D413" s="35">
        <v>3</v>
      </c>
      <c r="E413" s="35">
        <v>3</v>
      </c>
      <c r="F413" s="36">
        <v>43637</v>
      </c>
      <c r="G413" s="9">
        <f>VLOOKUP(A413,Sheet9!$A:$F,2,FALSE)</f>
        <v>33000</v>
      </c>
      <c r="H413" s="9" t="str">
        <f>VLOOKUP(A413,Sheet9!$A:$F,3,FALSE )</f>
        <v>Bahria Town Rawalpindi</v>
      </c>
      <c r="I413" s="9" t="str">
        <f>VLOOKUP(A413,Sheet9!$A:$F,4,FALSE)</f>
        <v>Rawalpindi</v>
      </c>
      <c r="J413" s="9" t="str">
        <f>VLOOKUP(A413,Sheet9!$A:$F,5,FALSE)</f>
        <v>Punjab</v>
      </c>
      <c r="K413" s="9" t="str">
        <f>VLOOKUP(A413,Sheet9!$A:$F,6,FALSE)</f>
        <v>For Rent</v>
      </c>
      <c r="L413" s="9">
        <f t="shared" si="6"/>
        <v>2</v>
      </c>
    </row>
    <row r="414" spans="1:12" ht="15" thickBot="1">
      <c r="A414" s="31">
        <v>5042102</v>
      </c>
      <c r="B414" s="35">
        <v>1447</v>
      </c>
      <c r="C414" s="35" t="s">
        <v>153</v>
      </c>
      <c r="D414" s="35">
        <v>6</v>
      </c>
      <c r="E414" s="35">
        <v>5</v>
      </c>
      <c r="F414" s="36">
        <v>43634</v>
      </c>
      <c r="G414" s="9">
        <f>VLOOKUP(A414,Sheet9!$A:$F,2,FALSE)</f>
        <v>59500000</v>
      </c>
      <c r="H414" s="9" t="str">
        <f>VLOOKUP(A414,Sheet9!$A:$F,3,FALSE )</f>
        <v>DHA Defence</v>
      </c>
      <c r="I414" s="9" t="str">
        <f>VLOOKUP(A414,Sheet9!$A:$F,4,FALSE)</f>
        <v>Lahore</v>
      </c>
      <c r="J414" s="9" t="str">
        <f>VLOOKUP(A414,Sheet9!$A:$F,5,FALSE)</f>
        <v>Punjab</v>
      </c>
      <c r="K414" s="9" t="str">
        <f>VLOOKUP(A414,Sheet9!$A:$F,6,FALSE)</f>
        <v>For Sale</v>
      </c>
      <c r="L414" s="9">
        <f t="shared" si="6"/>
        <v>2</v>
      </c>
    </row>
    <row r="415" spans="1:12" ht="15" thickBot="1">
      <c r="A415" s="31">
        <v>5042734</v>
      </c>
      <c r="B415" s="35">
        <v>1448</v>
      </c>
      <c r="C415" s="35" t="s">
        <v>153</v>
      </c>
      <c r="D415" s="35">
        <v>7</v>
      </c>
      <c r="E415" s="35">
        <v>5</v>
      </c>
      <c r="F415" s="36">
        <v>43499</v>
      </c>
      <c r="G415" s="9">
        <f>VLOOKUP(A415,Sheet9!$A:$F,2,FALSE)</f>
        <v>39500000</v>
      </c>
      <c r="H415" s="9" t="str">
        <f>VLOOKUP(A415,Sheet9!$A:$F,3,FALSE )</f>
        <v>DHA Defence</v>
      </c>
      <c r="I415" s="9" t="str">
        <f>VLOOKUP(A415,Sheet9!$A:$F,4,FALSE)</f>
        <v>Lahore</v>
      </c>
      <c r="J415" s="9" t="str">
        <f>VLOOKUP(A415,Sheet9!$A:$F,5,FALSE)</f>
        <v>Punjab</v>
      </c>
      <c r="K415" s="9" t="str">
        <f>VLOOKUP(A415,Sheet9!$A:$F,6,FALSE)</f>
        <v>For Sale</v>
      </c>
      <c r="L415" s="9">
        <f t="shared" si="6"/>
        <v>2</v>
      </c>
    </row>
    <row r="416" spans="1:12" ht="15" thickBot="1">
      <c r="A416" s="31">
        <v>5075456</v>
      </c>
      <c r="B416" s="35">
        <v>3226</v>
      </c>
      <c r="C416" s="35" t="s">
        <v>153</v>
      </c>
      <c r="D416" s="35">
        <v>3</v>
      </c>
      <c r="E416" s="35">
        <v>3</v>
      </c>
      <c r="F416" s="36">
        <v>43647</v>
      </c>
      <c r="G416" s="9">
        <f>VLOOKUP(A416,Sheet9!$A:$F,2,FALSE)</f>
        <v>6500000</v>
      </c>
      <c r="H416" s="9" t="str">
        <f>VLOOKUP(A416,Sheet9!$A:$F,3,FALSE )</f>
        <v>DHA Defence</v>
      </c>
      <c r="I416" s="9" t="str">
        <f>VLOOKUP(A416,Sheet9!$A:$F,4,FALSE)</f>
        <v>Islamabad</v>
      </c>
      <c r="J416" s="9" t="str">
        <f>VLOOKUP(A416,Sheet9!$A:$F,5,FALSE)</f>
        <v>Islamabad Capital</v>
      </c>
      <c r="K416" s="9" t="str">
        <f>VLOOKUP(A416,Sheet9!$A:$F,6,FALSE)</f>
        <v>For Sale</v>
      </c>
      <c r="L416" s="9">
        <f t="shared" si="6"/>
        <v>3</v>
      </c>
    </row>
    <row r="417" spans="1:12" ht="15" thickBot="1">
      <c r="A417" s="31">
        <v>5075469</v>
      </c>
      <c r="B417" s="35">
        <v>3075</v>
      </c>
      <c r="C417" s="35" t="s">
        <v>153</v>
      </c>
      <c r="D417" s="35">
        <v>4</v>
      </c>
      <c r="E417" s="35">
        <v>3</v>
      </c>
      <c r="F417" s="36">
        <v>43647</v>
      </c>
      <c r="G417" s="9">
        <f>VLOOKUP(A417,Sheet9!$A:$F,2,FALSE)</f>
        <v>18500000</v>
      </c>
      <c r="H417" s="9" t="str">
        <f>VLOOKUP(A417,Sheet9!$A:$F,3,FALSE )</f>
        <v>DHA Defence</v>
      </c>
      <c r="I417" s="9" t="str">
        <f>VLOOKUP(A417,Sheet9!$A:$F,4,FALSE)</f>
        <v>Islamabad</v>
      </c>
      <c r="J417" s="9" t="str">
        <f>VLOOKUP(A417,Sheet9!$A:$F,5,FALSE)</f>
        <v>Islamabad Capital</v>
      </c>
      <c r="K417" s="9" t="str">
        <f>VLOOKUP(A417,Sheet9!$A:$F,6,FALSE)</f>
        <v>For Sale</v>
      </c>
      <c r="L417" s="9">
        <f t="shared" si="6"/>
        <v>3</v>
      </c>
    </row>
    <row r="418" spans="1:12" ht="15" thickBot="1">
      <c r="A418" s="31">
        <v>5092270</v>
      </c>
      <c r="B418" s="35">
        <v>1333</v>
      </c>
      <c r="C418" s="35" t="s">
        <v>153</v>
      </c>
      <c r="D418" s="35">
        <v>0</v>
      </c>
      <c r="E418" s="35">
        <v>2</v>
      </c>
      <c r="F418" s="36">
        <v>43500</v>
      </c>
      <c r="G418" s="9">
        <f>VLOOKUP(A418,Sheet9!$A:$F,2,FALSE)</f>
        <v>4200000</v>
      </c>
      <c r="H418" s="9" t="str">
        <f>VLOOKUP(A418,Sheet9!$A:$F,3,FALSE )</f>
        <v>DHA Defence</v>
      </c>
      <c r="I418" s="9" t="str">
        <f>VLOOKUP(A418,Sheet9!$A:$F,4,FALSE)</f>
        <v>Islamabad</v>
      </c>
      <c r="J418" s="9" t="str">
        <f>VLOOKUP(A418,Sheet9!$A:$F,5,FALSE)</f>
        <v>Islamabad Capital</v>
      </c>
      <c r="K418" s="9" t="str">
        <f>VLOOKUP(A418,Sheet9!$A:$F,6,FALSE)</f>
        <v>For Sale</v>
      </c>
      <c r="L418" s="9">
        <f t="shared" si="6"/>
        <v>3</v>
      </c>
    </row>
    <row r="419" spans="1:12" ht="15" thickBot="1">
      <c r="A419" s="31">
        <v>5122106</v>
      </c>
      <c r="B419" s="35">
        <v>8337</v>
      </c>
      <c r="C419" s="35" t="s">
        <v>153</v>
      </c>
      <c r="D419" s="35">
        <v>4</v>
      </c>
      <c r="E419" s="35">
        <v>4</v>
      </c>
      <c r="F419" s="36">
        <v>43499</v>
      </c>
      <c r="G419" s="9">
        <f>VLOOKUP(A419,Sheet9!$A:$F,2,FALSE)</f>
        <v>16500000</v>
      </c>
      <c r="H419" s="9" t="str">
        <f>VLOOKUP(A419,Sheet9!$A:$F,3,FALSE )</f>
        <v>Gulberg</v>
      </c>
      <c r="I419" s="9" t="str">
        <f>VLOOKUP(A419,Sheet9!$A:$F,4,FALSE)</f>
        <v>Lahore</v>
      </c>
      <c r="J419" s="9" t="str">
        <f>VLOOKUP(A419,Sheet9!$A:$F,5,FALSE)</f>
        <v>Punjab</v>
      </c>
      <c r="K419" s="9" t="str">
        <f>VLOOKUP(A419,Sheet9!$A:$F,6,FALSE)</f>
        <v>For Sale</v>
      </c>
      <c r="L419" s="9">
        <f t="shared" si="6"/>
        <v>2</v>
      </c>
    </row>
    <row r="420" spans="1:12" ht="15" thickBot="1">
      <c r="A420" s="31">
        <v>5141856</v>
      </c>
      <c r="B420" s="35">
        <v>6655</v>
      </c>
      <c r="C420" s="35" t="s">
        <v>154</v>
      </c>
      <c r="D420" s="35">
        <v>3</v>
      </c>
      <c r="E420" s="35">
        <v>3</v>
      </c>
      <c r="F420" s="36">
        <v>43636</v>
      </c>
      <c r="G420" s="9">
        <f>VLOOKUP(A420,Sheet9!$A:$F,2,FALSE)</f>
        <v>55000</v>
      </c>
      <c r="H420" s="9" t="str">
        <f>VLOOKUP(A420,Sheet9!$A:$F,3,FALSE )</f>
        <v>Cantt</v>
      </c>
      <c r="I420" s="9" t="str">
        <f>VLOOKUP(A420,Sheet9!$A:$F,4,FALSE)</f>
        <v>Karachi</v>
      </c>
      <c r="J420" s="9" t="str">
        <f>VLOOKUP(A420,Sheet9!$A:$F,5,FALSE)</f>
        <v>Sindh</v>
      </c>
      <c r="K420" s="9" t="str">
        <f>VLOOKUP(A420,Sheet9!$A:$F,6,FALSE)</f>
        <v>For Rent</v>
      </c>
      <c r="L420" s="9">
        <f t="shared" si="6"/>
        <v>1</v>
      </c>
    </row>
    <row r="421" spans="1:12" ht="29.5" thickBot="1">
      <c r="A421" s="31">
        <v>5148730</v>
      </c>
      <c r="B421" s="35">
        <v>9582</v>
      </c>
      <c r="C421" s="35" t="s">
        <v>156</v>
      </c>
      <c r="D421" s="35">
        <v>3</v>
      </c>
      <c r="E421" s="35">
        <v>3</v>
      </c>
      <c r="F421" s="36">
        <v>43636</v>
      </c>
      <c r="G421" s="9">
        <f>VLOOKUP(A421,Sheet9!$A:$F,2,FALSE)</f>
        <v>68000</v>
      </c>
      <c r="H421" s="9" t="str">
        <f>VLOOKUP(A421,Sheet9!$A:$F,3,FALSE )</f>
        <v>Malir</v>
      </c>
      <c r="I421" s="9" t="str">
        <f>VLOOKUP(A421,Sheet9!$A:$F,4,FALSE)</f>
        <v>Karachi</v>
      </c>
      <c r="J421" s="9" t="str">
        <f>VLOOKUP(A421,Sheet9!$A:$F,5,FALSE)</f>
        <v>Sindh</v>
      </c>
      <c r="K421" s="9" t="str">
        <f>VLOOKUP(A421,Sheet9!$A:$F,6,FALSE)</f>
        <v>For Rent</v>
      </c>
      <c r="L421" s="9">
        <f t="shared" si="6"/>
        <v>1</v>
      </c>
    </row>
    <row r="422" spans="1:12" ht="15" thickBot="1">
      <c r="A422" s="31">
        <v>5157443</v>
      </c>
      <c r="B422" s="35">
        <v>424</v>
      </c>
      <c r="C422" s="35" t="s">
        <v>153</v>
      </c>
      <c r="D422" s="35">
        <v>5</v>
      </c>
      <c r="E422" s="35">
        <v>5</v>
      </c>
      <c r="F422" s="36">
        <v>43320</v>
      </c>
      <c r="G422" s="9">
        <f>VLOOKUP(A422,Sheet9!$A:$F,2,FALSE)</f>
        <v>15500000</v>
      </c>
      <c r="H422" s="9" t="str">
        <f>VLOOKUP(A422,Sheet9!$A:$F,3,FALSE )</f>
        <v>PWD Housing Scheme</v>
      </c>
      <c r="I422" s="9" t="str">
        <f>VLOOKUP(A422,Sheet9!$A:$F,4,FALSE)</f>
        <v>Islamabad</v>
      </c>
      <c r="J422" s="9" t="str">
        <f>VLOOKUP(A422,Sheet9!$A:$F,5,FALSE)</f>
        <v>Islamabad Capital</v>
      </c>
      <c r="K422" s="9" t="str">
        <f>VLOOKUP(A422,Sheet9!$A:$F,6,FALSE)</f>
        <v>For Sale</v>
      </c>
      <c r="L422" s="9">
        <f t="shared" si="6"/>
        <v>3</v>
      </c>
    </row>
    <row r="423" spans="1:12" ht="15" thickBot="1">
      <c r="A423" s="31">
        <v>5164651</v>
      </c>
      <c r="B423" s="35">
        <v>3333</v>
      </c>
      <c r="C423" s="35" t="s">
        <v>154</v>
      </c>
      <c r="D423" s="35">
        <v>1</v>
      </c>
      <c r="E423" s="35">
        <v>2</v>
      </c>
      <c r="F423" s="36">
        <v>43663</v>
      </c>
      <c r="G423" s="9">
        <f>VLOOKUP(A423,Sheet9!$A:$F,2,FALSE)</f>
        <v>7000000</v>
      </c>
      <c r="H423" s="9" t="str">
        <f>VLOOKUP(A423,Sheet9!$A:$F,3,FALSE )</f>
        <v>G-11</v>
      </c>
      <c r="I423" s="9" t="str">
        <f>VLOOKUP(A423,Sheet9!$A:$F,4,FALSE)</f>
        <v>Islamabad</v>
      </c>
      <c r="J423" s="9" t="str">
        <f>VLOOKUP(A423,Sheet9!$A:$F,5,FALSE)</f>
        <v>Islamabad Capital</v>
      </c>
      <c r="K423" s="9" t="str">
        <f>VLOOKUP(A423,Sheet9!$A:$F,6,FALSE)</f>
        <v>For Sale</v>
      </c>
      <c r="L423" s="9">
        <f t="shared" si="6"/>
        <v>3</v>
      </c>
    </row>
    <row r="424" spans="1:12" ht="15" thickBot="1">
      <c r="A424" s="31">
        <v>5172784</v>
      </c>
      <c r="B424" s="35">
        <v>6869</v>
      </c>
      <c r="C424" s="35" t="s">
        <v>153</v>
      </c>
      <c r="D424" s="35">
        <v>6</v>
      </c>
      <c r="E424" s="35">
        <v>6</v>
      </c>
      <c r="F424" s="36">
        <v>43513</v>
      </c>
      <c r="G424" s="9">
        <f>VLOOKUP(A424,Sheet9!$A:$F,2,FALSE)</f>
        <v>110000000</v>
      </c>
      <c r="H424" s="9" t="str">
        <f>VLOOKUP(A424,Sheet9!$A:$F,3,FALSE )</f>
        <v>Gulshan-e-Iqbal Town</v>
      </c>
      <c r="I424" s="9" t="str">
        <f>VLOOKUP(A424,Sheet9!$A:$F,4,FALSE)</f>
        <v>Karachi</v>
      </c>
      <c r="J424" s="9" t="str">
        <f>VLOOKUP(A424,Sheet9!$A:$F,5,FALSE)</f>
        <v>Sindh</v>
      </c>
      <c r="K424" s="9" t="str">
        <f>VLOOKUP(A424,Sheet9!$A:$F,6,FALSE)</f>
        <v>For Sale</v>
      </c>
      <c r="L424" s="9">
        <f t="shared" si="6"/>
        <v>1</v>
      </c>
    </row>
    <row r="425" spans="1:12" ht="15" thickBot="1">
      <c r="A425" s="31">
        <v>5174345</v>
      </c>
      <c r="B425" s="35">
        <v>3556</v>
      </c>
      <c r="C425" s="35" t="s">
        <v>154</v>
      </c>
      <c r="D425" s="35">
        <v>3</v>
      </c>
      <c r="E425" s="35">
        <v>3</v>
      </c>
      <c r="F425" s="36">
        <v>43634</v>
      </c>
      <c r="G425" s="9">
        <f>VLOOKUP(A425,Sheet9!$A:$F,2,FALSE)</f>
        <v>13000000</v>
      </c>
      <c r="H425" s="9" t="str">
        <f>VLOOKUP(A425,Sheet9!$A:$F,3,FALSE )</f>
        <v>Askari</v>
      </c>
      <c r="I425" s="9" t="str">
        <f>VLOOKUP(A425,Sheet9!$A:$F,4,FALSE)</f>
        <v>Lahore</v>
      </c>
      <c r="J425" s="9" t="str">
        <f>VLOOKUP(A425,Sheet9!$A:$F,5,FALSE)</f>
        <v>Punjab</v>
      </c>
      <c r="K425" s="9" t="str">
        <f>VLOOKUP(A425,Sheet9!$A:$F,6,FALSE)</f>
        <v>For Sale</v>
      </c>
      <c r="L425" s="9">
        <f t="shared" si="6"/>
        <v>2</v>
      </c>
    </row>
    <row r="426" spans="1:12" ht="15" thickBot="1">
      <c r="A426" s="31">
        <v>5184682</v>
      </c>
      <c r="B426" s="35">
        <v>3285</v>
      </c>
      <c r="C426" s="35" t="s">
        <v>153</v>
      </c>
      <c r="D426" s="35">
        <v>10</v>
      </c>
      <c r="E426" s="35">
        <v>7</v>
      </c>
      <c r="F426" s="36">
        <v>43590</v>
      </c>
      <c r="G426" s="9">
        <f>VLOOKUP(A426,Sheet9!$A:$F,2,FALSE)</f>
        <v>105000000</v>
      </c>
      <c r="H426" s="9" t="str">
        <f>VLOOKUP(A426,Sheet9!$A:$F,3,FALSE )</f>
        <v>F-11</v>
      </c>
      <c r="I426" s="9" t="str">
        <f>VLOOKUP(A426,Sheet9!$A:$F,4,FALSE)</f>
        <v>Islamabad</v>
      </c>
      <c r="J426" s="9" t="str">
        <f>VLOOKUP(A426,Sheet9!$A:$F,5,FALSE)</f>
        <v>Islamabad Capital</v>
      </c>
      <c r="K426" s="9" t="str">
        <f>VLOOKUP(A426,Sheet9!$A:$F,6,FALSE)</f>
        <v>For Sale</v>
      </c>
      <c r="L426" s="9">
        <f t="shared" si="6"/>
        <v>3</v>
      </c>
    </row>
    <row r="427" spans="1:12" ht="29.5" thickBot="1">
      <c r="A427" s="31">
        <v>5194902</v>
      </c>
      <c r="B427" s="35">
        <v>3200</v>
      </c>
      <c r="C427" s="35" t="s">
        <v>156</v>
      </c>
      <c r="D427" s="35">
        <v>4</v>
      </c>
      <c r="E427" s="35">
        <v>3</v>
      </c>
      <c r="F427" s="36">
        <v>43620</v>
      </c>
      <c r="G427" s="9">
        <f>VLOOKUP(A427,Sheet9!$A:$F,2,FALSE)</f>
        <v>60000</v>
      </c>
      <c r="H427" s="9" t="str">
        <f>VLOOKUP(A427,Sheet9!$A:$F,3,FALSE )</f>
        <v>DHA Defence</v>
      </c>
      <c r="I427" s="9" t="str">
        <f>VLOOKUP(A427,Sheet9!$A:$F,4,FALSE)</f>
        <v>Islamabad</v>
      </c>
      <c r="J427" s="9" t="str">
        <f>VLOOKUP(A427,Sheet9!$A:$F,5,FALSE)</f>
        <v>Islamabad Capital</v>
      </c>
      <c r="K427" s="9" t="str">
        <f>VLOOKUP(A427,Sheet9!$A:$F,6,FALSE)</f>
        <v>For Rent</v>
      </c>
      <c r="L427" s="9">
        <f t="shared" si="6"/>
        <v>3</v>
      </c>
    </row>
    <row r="428" spans="1:12" ht="15" thickBot="1">
      <c r="A428" s="31">
        <v>5206268</v>
      </c>
      <c r="B428" s="35">
        <v>3202</v>
      </c>
      <c r="C428" s="35" t="s">
        <v>153</v>
      </c>
      <c r="D428" s="35">
        <v>6</v>
      </c>
      <c r="E428" s="35">
        <v>6</v>
      </c>
      <c r="F428" s="36">
        <v>43590</v>
      </c>
      <c r="G428" s="9">
        <f>VLOOKUP(A428,Sheet9!$A:$F,2,FALSE)</f>
        <v>110000</v>
      </c>
      <c r="H428" s="9" t="str">
        <f>VLOOKUP(A428,Sheet9!$A:$F,3,FALSE )</f>
        <v>DHA Defence</v>
      </c>
      <c r="I428" s="9" t="str">
        <f>VLOOKUP(A428,Sheet9!$A:$F,4,FALSE)</f>
        <v>Islamabad</v>
      </c>
      <c r="J428" s="9" t="str">
        <f>VLOOKUP(A428,Sheet9!$A:$F,5,FALSE)</f>
        <v>Islamabad Capital</v>
      </c>
      <c r="K428" s="9" t="str">
        <f>VLOOKUP(A428,Sheet9!$A:$F,6,FALSE)</f>
        <v>For Rent</v>
      </c>
      <c r="L428" s="9">
        <f t="shared" si="6"/>
        <v>3</v>
      </c>
    </row>
    <row r="429" spans="1:12" ht="15" thickBot="1">
      <c r="A429" s="31">
        <v>5207423</v>
      </c>
      <c r="B429" s="35">
        <v>4164</v>
      </c>
      <c r="C429" s="35" t="s">
        <v>153</v>
      </c>
      <c r="D429" s="35">
        <v>0</v>
      </c>
      <c r="E429" s="35">
        <v>0</v>
      </c>
      <c r="F429" s="36">
        <v>43439</v>
      </c>
      <c r="G429" s="9">
        <f>VLOOKUP(A429,Sheet9!$A:$F,2,FALSE)</f>
        <v>60000000</v>
      </c>
      <c r="H429" s="9" t="str">
        <f>VLOOKUP(A429,Sheet9!$A:$F,3,FALSE )</f>
        <v>Sabzazar Scheme</v>
      </c>
      <c r="I429" s="9" t="str">
        <f>VLOOKUP(A429,Sheet9!$A:$F,4,FALSE)</f>
        <v>Lahore</v>
      </c>
      <c r="J429" s="9" t="str">
        <f>VLOOKUP(A429,Sheet9!$A:$F,5,FALSE)</f>
        <v>Punjab</v>
      </c>
      <c r="K429" s="9" t="str">
        <f>VLOOKUP(A429,Sheet9!$A:$F,6,FALSE)</f>
        <v>For Sale</v>
      </c>
      <c r="L429" s="9">
        <f t="shared" si="6"/>
        <v>2</v>
      </c>
    </row>
    <row r="430" spans="1:12" ht="15" thickBot="1">
      <c r="A430" s="31">
        <v>5209949</v>
      </c>
      <c r="B430" s="35">
        <v>6655</v>
      </c>
      <c r="C430" s="35" t="s">
        <v>153</v>
      </c>
      <c r="D430" s="35">
        <v>5</v>
      </c>
      <c r="E430" s="35">
        <v>5</v>
      </c>
      <c r="F430" s="36">
        <v>43636</v>
      </c>
      <c r="G430" s="9">
        <f>VLOOKUP(A430,Sheet9!$A:$F,2,FALSE)</f>
        <v>110000</v>
      </c>
      <c r="H430" s="9" t="str">
        <f>VLOOKUP(A430,Sheet9!$A:$F,3,FALSE )</f>
        <v>Cantt</v>
      </c>
      <c r="I430" s="9" t="str">
        <f>VLOOKUP(A430,Sheet9!$A:$F,4,FALSE)</f>
        <v>Karachi</v>
      </c>
      <c r="J430" s="9" t="str">
        <f>VLOOKUP(A430,Sheet9!$A:$F,5,FALSE)</f>
        <v>Sindh</v>
      </c>
      <c r="K430" s="9" t="str">
        <f>VLOOKUP(A430,Sheet9!$A:$F,6,FALSE)</f>
        <v>For Rent</v>
      </c>
      <c r="L430" s="9">
        <f t="shared" si="6"/>
        <v>1</v>
      </c>
    </row>
    <row r="431" spans="1:12" ht="15" thickBot="1">
      <c r="A431" s="31">
        <v>5220077</v>
      </c>
      <c r="B431" s="35">
        <v>11272</v>
      </c>
      <c r="C431" s="35" t="s">
        <v>153</v>
      </c>
      <c r="D431" s="35">
        <v>5</v>
      </c>
      <c r="E431" s="35">
        <v>4</v>
      </c>
      <c r="F431" s="36">
        <v>43591</v>
      </c>
      <c r="G431" s="9">
        <f>VLOOKUP(A431,Sheet9!$A:$F,2,FALSE)</f>
        <v>12500000</v>
      </c>
      <c r="H431" s="9" t="str">
        <f>VLOOKUP(A431,Sheet9!$A:$F,3,FALSE )</f>
        <v>Northern Bypass</v>
      </c>
      <c r="I431" s="9" t="str">
        <f>VLOOKUP(A431,Sheet9!$A:$F,4,FALSE)</f>
        <v>Karachi</v>
      </c>
      <c r="J431" s="9" t="str">
        <f>VLOOKUP(A431,Sheet9!$A:$F,5,FALSE)</f>
        <v>Sindh</v>
      </c>
      <c r="K431" s="9" t="str">
        <f>VLOOKUP(A431,Sheet9!$A:$F,6,FALSE)</f>
        <v>For Sale</v>
      </c>
      <c r="L431" s="9">
        <f t="shared" si="6"/>
        <v>1</v>
      </c>
    </row>
    <row r="432" spans="1:12" ht="15" thickBot="1">
      <c r="A432" s="31">
        <v>5220102</v>
      </c>
      <c r="B432" s="35">
        <v>9135</v>
      </c>
      <c r="C432" s="35" t="s">
        <v>153</v>
      </c>
      <c r="D432" s="35">
        <v>4</v>
      </c>
      <c r="E432" s="35">
        <v>3</v>
      </c>
      <c r="F432" s="36">
        <v>43591</v>
      </c>
      <c r="G432" s="9">
        <f>VLOOKUP(A432,Sheet9!$A:$F,2,FALSE)</f>
        <v>9205000</v>
      </c>
      <c r="H432" s="9" t="str">
        <f>VLOOKUP(A432,Sheet9!$A:$F,3,FALSE )</f>
        <v>Fazaia Housing Scheme</v>
      </c>
      <c r="I432" s="9" t="str">
        <f>VLOOKUP(A432,Sheet9!$A:$F,4,FALSE)</f>
        <v>Karachi</v>
      </c>
      <c r="J432" s="9" t="str">
        <f>VLOOKUP(A432,Sheet9!$A:$F,5,FALSE)</f>
        <v>Sindh</v>
      </c>
      <c r="K432" s="9" t="str">
        <f>VLOOKUP(A432,Sheet9!$A:$F,6,FALSE)</f>
        <v>For Sale</v>
      </c>
      <c r="L432" s="9">
        <f t="shared" si="6"/>
        <v>1</v>
      </c>
    </row>
    <row r="433" spans="1:12" ht="15" thickBot="1">
      <c r="A433" s="31">
        <v>5222437</v>
      </c>
      <c r="B433" s="35">
        <v>1534</v>
      </c>
      <c r="C433" s="35" t="s">
        <v>153</v>
      </c>
      <c r="D433" s="35">
        <v>0</v>
      </c>
      <c r="E433" s="35">
        <v>0</v>
      </c>
      <c r="F433" s="36">
        <v>43588</v>
      </c>
      <c r="G433" s="9">
        <f>VLOOKUP(A433,Sheet9!$A:$F,2,FALSE)</f>
        <v>175000000</v>
      </c>
      <c r="H433" s="9" t="str">
        <f>VLOOKUP(A433,Sheet9!$A:$F,3,FALSE )</f>
        <v>Garden Town</v>
      </c>
      <c r="I433" s="9" t="str">
        <f>VLOOKUP(A433,Sheet9!$A:$F,4,FALSE)</f>
        <v>Lahore</v>
      </c>
      <c r="J433" s="9" t="str">
        <f>VLOOKUP(A433,Sheet9!$A:$F,5,FALSE)</f>
        <v>Punjab</v>
      </c>
      <c r="K433" s="9" t="str">
        <f>VLOOKUP(A433,Sheet9!$A:$F,6,FALSE)</f>
        <v>For Sale</v>
      </c>
      <c r="L433" s="9">
        <f t="shared" si="6"/>
        <v>2</v>
      </c>
    </row>
    <row r="434" spans="1:12" ht="15" thickBot="1">
      <c r="A434" s="31">
        <v>5231804</v>
      </c>
      <c r="B434" s="35">
        <v>11308</v>
      </c>
      <c r="C434" s="35" t="s">
        <v>157</v>
      </c>
      <c r="D434" s="35">
        <v>6</v>
      </c>
      <c r="E434" s="35">
        <v>3</v>
      </c>
      <c r="F434" s="36">
        <v>43590</v>
      </c>
      <c r="G434" s="9">
        <f>VLOOKUP(A434,Sheet9!$A:$F,2,FALSE)</f>
        <v>130000000</v>
      </c>
      <c r="H434" s="9" t="str">
        <f>VLOOKUP(A434,Sheet9!$A:$F,3,FALSE )</f>
        <v>F-10</v>
      </c>
      <c r="I434" s="9" t="str">
        <f>VLOOKUP(A434,Sheet9!$A:$F,4,FALSE)</f>
        <v>Islamabad</v>
      </c>
      <c r="J434" s="9" t="str">
        <f>VLOOKUP(A434,Sheet9!$A:$F,5,FALSE)</f>
        <v>Islamabad Capital</v>
      </c>
      <c r="K434" s="9" t="str">
        <f>VLOOKUP(A434,Sheet9!$A:$F,6,FALSE)</f>
        <v>For Sale</v>
      </c>
      <c r="L434" s="9">
        <f t="shared" si="6"/>
        <v>3</v>
      </c>
    </row>
    <row r="435" spans="1:12" ht="15" thickBot="1">
      <c r="A435" s="31">
        <v>5232518</v>
      </c>
      <c r="B435" s="35">
        <v>443</v>
      </c>
      <c r="C435" s="35" t="s">
        <v>153</v>
      </c>
      <c r="D435" s="35">
        <v>6</v>
      </c>
      <c r="E435" s="35">
        <v>4</v>
      </c>
      <c r="F435" s="36">
        <v>43560</v>
      </c>
      <c r="G435" s="9">
        <f>VLOOKUP(A435,Sheet9!$A:$F,2,FALSE)</f>
        <v>17500000</v>
      </c>
      <c r="H435" s="9" t="str">
        <f>VLOOKUP(A435,Sheet9!$A:$F,3,FALSE )</f>
        <v>Askari 11</v>
      </c>
      <c r="I435" s="9" t="str">
        <f>VLOOKUP(A435,Sheet9!$A:$F,4,FALSE)</f>
        <v>Rawalpindi</v>
      </c>
      <c r="J435" s="9" t="str">
        <f>VLOOKUP(A435,Sheet9!$A:$F,5,FALSE)</f>
        <v>Punjab</v>
      </c>
      <c r="K435" s="9" t="str">
        <f>VLOOKUP(A435,Sheet9!$A:$F,6,FALSE)</f>
        <v>For Sale</v>
      </c>
      <c r="L435" s="9">
        <f t="shared" si="6"/>
        <v>2</v>
      </c>
    </row>
    <row r="436" spans="1:12" ht="15" thickBot="1">
      <c r="A436" s="31">
        <v>5248798</v>
      </c>
      <c r="B436" s="35">
        <v>1447</v>
      </c>
      <c r="C436" s="35" t="s">
        <v>153</v>
      </c>
      <c r="D436" s="35">
        <v>6</v>
      </c>
      <c r="E436" s="35">
        <v>6</v>
      </c>
      <c r="F436" s="36">
        <v>43499</v>
      </c>
      <c r="G436" s="9">
        <f>VLOOKUP(A436,Sheet9!$A:$F,2,FALSE)</f>
        <v>110000000</v>
      </c>
      <c r="H436" s="9" t="str">
        <f>VLOOKUP(A436,Sheet9!$A:$F,3,FALSE )</f>
        <v>DHA Defence</v>
      </c>
      <c r="I436" s="9" t="str">
        <f>VLOOKUP(A436,Sheet9!$A:$F,4,FALSE)</f>
        <v>Lahore</v>
      </c>
      <c r="J436" s="9" t="str">
        <f>VLOOKUP(A436,Sheet9!$A:$F,5,FALSE)</f>
        <v>Punjab</v>
      </c>
      <c r="K436" s="9" t="str">
        <f>VLOOKUP(A436,Sheet9!$A:$F,6,FALSE)</f>
        <v>For Sale</v>
      </c>
      <c r="L436" s="9">
        <f t="shared" si="6"/>
        <v>2</v>
      </c>
    </row>
    <row r="437" spans="1:12" ht="15" thickBot="1">
      <c r="A437" s="31">
        <v>5254741</v>
      </c>
      <c r="B437" s="35">
        <v>1612</v>
      </c>
      <c r="C437" s="35" t="s">
        <v>153</v>
      </c>
      <c r="D437" s="35">
        <v>6</v>
      </c>
      <c r="E437" s="35">
        <v>5</v>
      </c>
      <c r="F437" s="36">
        <v>43641</v>
      </c>
      <c r="G437" s="9">
        <f>VLOOKUP(A437,Sheet9!$A:$F,2,FALSE)</f>
        <v>47000000</v>
      </c>
      <c r="H437" s="9" t="str">
        <f>VLOOKUP(A437,Sheet9!$A:$F,3,FALSE )</f>
        <v>DHA Defence</v>
      </c>
      <c r="I437" s="9" t="str">
        <f>VLOOKUP(A437,Sheet9!$A:$F,4,FALSE)</f>
        <v>Lahore</v>
      </c>
      <c r="J437" s="9" t="str">
        <f>VLOOKUP(A437,Sheet9!$A:$F,5,FALSE)</f>
        <v>Punjab</v>
      </c>
      <c r="K437" s="9" t="str">
        <f>VLOOKUP(A437,Sheet9!$A:$F,6,FALSE)</f>
        <v>For Sale</v>
      </c>
      <c r="L437" s="9">
        <f t="shared" si="6"/>
        <v>2</v>
      </c>
    </row>
    <row r="438" spans="1:12" ht="15" thickBot="1">
      <c r="A438" s="31">
        <v>5270691</v>
      </c>
      <c r="B438" s="35">
        <v>3102</v>
      </c>
      <c r="C438" s="35" t="s">
        <v>153</v>
      </c>
      <c r="D438" s="35">
        <v>6</v>
      </c>
      <c r="E438" s="35">
        <v>5</v>
      </c>
      <c r="F438" s="36">
        <v>43620</v>
      </c>
      <c r="G438" s="9">
        <f>VLOOKUP(A438,Sheet9!$A:$F,2,FALSE)</f>
        <v>54000000</v>
      </c>
      <c r="H438" s="9" t="str">
        <f>VLOOKUP(A438,Sheet9!$A:$F,3,FALSE )</f>
        <v>Gulberg</v>
      </c>
      <c r="I438" s="9" t="str">
        <f>VLOOKUP(A438,Sheet9!$A:$F,4,FALSE)</f>
        <v>Lahore</v>
      </c>
      <c r="J438" s="9" t="str">
        <f>VLOOKUP(A438,Sheet9!$A:$F,5,FALSE)</f>
        <v>Punjab</v>
      </c>
      <c r="K438" s="9" t="str">
        <f>VLOOKUP(A438,Sheet9!$A:$F,6,FALSE)</f>
        <v>For Sale</v>
      </c>
      <c r="L438" s="9">
        <f t="shared" si="6"/>
        <v>2</v>
      </c>
    </row>
    <row r="439" spans="1:12" ht="15" thickBot="1">
      <c r="A439" s="31">
        <v>5270708</v>
      </c>
      <c r="B439" s="35">
        <v>3102</v>
      </c>
      <c r="C439" s="35" t="s">
        <v>153</v>
      </c>
      <c r="D439" s="35">
        <v>6</v>
      </c>
      <c r="E439" s="35">
        <v>5</v>
      </c>
      <c r="F439" s="36">
        <v>43620</v>
      </c>
      <c r="G439" s="9">
        <f>VLOOKUP(A439,Sheet9!$A:$F,2,FALSE)</f>
        <v>53500000</v>
      </c>
      <c r="H439" s="9" t="str">
        <f>VLOOKUP(A439,Sheet9!$A:$F,3,FALSE )</f>
        <v>Gulberg</v>
      </c>
      <c r="I439" s="9" t="str">
        <f>VLOOKUP(A439,Sheet9!$A:$F,4,FALSE)</f>
        <v>Lahore</v>
      </c>
      <c r="J439" s="9" t="str">
        <f>VLOOKUP(A439,Sheet9!$A:$F,5,FALSE)</f>
        <v>Punjab</v>
      </c>
      <c r="K439" s="9" t="str">
        <f>VLOOKUP(A439,Sheet9!$A:$F,6,FALSE)</f>
        <v>For Sale</v>
      </c>
      <c r="L439" s="9">
        <f t="shared" si="6"/>
        <v>2</v>
      </c>
    </row>
    <row r="440" spans="1:12" ht="15" thickBot="1">
      <c r="A440" s="31">
        <v>5270731</v>
      </c>
      <c r="B440" s="35">
        <v>3102</v>
      </c>
      <c r="C440" s="35" t="s">
        <v>153</v>
      </c>
      <c r="D440" s="35">
        <v>5</v>
      </c>
      <c r="E440" s="35">
        <v>4</v>
      </c>
      <c r="F440" s="36">
        <v>43618</v>
      </c>
      <c r="G440" s="9">
        <f>VLOOKUP(A440,Sheet9!$A:$F,2,FALSE)</f>
        <v>34500000</v>
      </c>
      <c r="H440" s="9" t="str">
        <f>VLOOKUP(A440,Sheet9!$A:$F,3,FALSE )</f>
        <v>Gulberg</v>
      </c>
      <c r="I440" s="9" t="str">
        <f>VLOOKUP(A440,Sheet9!$A:$F,4,FALSE)</f>
        <v>Lahore</v>
      </c>
      <c r="J440" s="9" t="str">
        <f>VLOOKUP(A440,Sheet9!$A:$F,5,FALSE)</f>
        <v>Punjab</v>
      </c>
      <c r="K440" s="9" t="str">
        <f>VLOOKUP(A440,Sheet9!$A:$F,6,FALSE)</f>
        <v>For Sale</v>
      </c>
      <c r="L440" s="9">
        <f t="shared" si="6"/>
        <v>2</v>
      </c>
    </row>
    <row r="441" spans="1:12" ht="15" thickBot="1">
      <c r="A441" s="31">
        <v>5271225</v>
      </c>
      <c r="B441" s="35">
        <v>1447</v>
      </c>
      <c r="C441" s="35" t="s">
        <v>153</v>
      </c>
      <c r="D441" s="35">
        <v>7</v>
      </c>
      <c r="E441" s="35">
        <v>6</v>
      </c>
      <c r="F441" s="36">
        <v>43558</v>
      </c>
      <c r="G441" s="9">
        <f>VLOOKUP(A441,Sheet9!$A:$F,2,FALSE)</f>
        <v>57500000</v>
      </c>
      <c r="H441" s="9" t="str">
        <f>VLOOKUP(A441,Sheet9!$A:$F,3,FALSE )</f>
        <v>DHA Defence</v>
      </c>
      <c r="I441" s="9" t="str">
        <f>VLOOKUP(A441,Sheet9!$A:$F,4,FALSE)</f>
        <v>Lahore</v>
      </c>
      <c r="J441" s="9" t="str">
        <f>VLOOKUP(A441,Sheet9!$A:$F,5,FALSE)</f>
        <v>Punjab</v>
      </c>
      <c r="K441" s="9" t="str">
        <f>VLOOKUP(A441,Sheet9!$A:$F,6,FALSE)</f>
        <v>For Sale</v>
      </c>
      <c r="L441" s="9">
        <f t="shared" si="6"/>
        <v>2</v>
      </c>
    </row>
    <row r="442" spans="1:12" ht="29.5" thickBot="1">
      <c r="A442" s="31">
        <v>5273147</v>
      </c>
      <c r="B442" s="35">
        <v>12</v>
      </c>
      <c r="C442" s="35" t="s">
        <v>155</v>
      </c>
      <c r="D442" s="35">
        <v>0</v>
      </c>
      <c r="E442" s="35">
        <v>5</v>
      </c>
      <c r="F442" s="36">
        <v>43364</v>
      </c>
      <c r="G442" s="9">
        <f>VLOOKUP(A442,Sheet9!$A:$F,2,FALSE)</f>
        <v>55000</v>
      </c>
      <c r="H442" s="9" t="str">
        <f>VLOOKUP(A442,Sheet9!$A:$F,3,FALSE )</f>
        <v>Federal B Area</v>
      </c>
      <c r="I442" s="9" t="str">
        <f>VLOOKUP(A442,Sheet9!$A:$F,4,FALSE)</f>
        <v>Karachi</v>
      </c>
      <c r="J442" s="9" t="str">
        <f>VLOOKUP(A442,Sheet9!$A:$F,5,FALSE)</f>
        <v>Sindh</v>
      </c>
      <c r="K442" s="9" t="str">
        <f>VLOOKUP(A442,Sheet9!$A:$F,6,FALSE)</f>
        <v>For Rent</v>
      </c>
      <c r="L442" s="9">
        <f t="shared" si="6"/>
        <v>1</v>
      </c>
    </row>
    <row r="443" spans="1:12" ht="15" thickBot="1">
      <c r="A443" s="31">
        <v>5291474</v>
      </c>
      <c r="B443" s="35">
        <v>8844</v>
      </c>
      <c r="C443" s="35" t="s">
        <v>154</v>
      </c>
      <c r="D443" s="35">
        <v>2</v>
      </c>
      <c r="E443" s="35">
        <v>2</v>
      </c>
      <c r="F443" s="36">
        <v>43534</v>
      </c>
      <c r="G443" s="9">
        <f>VLOOKUP(A443,Sheet9!$A:$F,2,FALSE)</f>
        <v>6100000</v>
      </c>
      <c r="H443" s="9" t="str">
        <f>VLOOKUP(A443,Sheet9!$A:$F,3,FALSE )</f>
        <v>Gulshan-e-Iqbal Town</v>
      </c>
      <c r="I443" s="9" t="str">
        <f>VLOOKUP(A443,Sheet9!$A:$F,4,FALSE)</f>
        <v>Karachi</v>
      </c>
      <c r="J443" s="9" t="str">
        <f>VLOOKUP(A443,Sheet9!$A:$F,5,FALSE)</f>
        <v>Sindh</v>
      </c>
      <c r="K443" s="9" t="str">
        <f>VLOOKUP(A443,Sheet9!$A:$F,6,FALSE)</f>
        <v>For Sale</v>
      </c>
      <c r="L443" s="9">
        <f t="shared" si="6"/>
        <v>1</v>
      </c>
    </row>
    <row r="444" spans="1:12" ht="15" thickBot="1">
      <c r="A444" s="31">
        <v>5292644</v>
      </c>
      <c r="B444" s="35">
        <v>427</v>
      </c>
      <c r="C444" s="35" t="s">
        <v>153</v>
      </c>
      <c r="D444" s="35">
        <v>4</v>
      </c>
      <c r="E444" s="35">
        <v>3</v>
      </c>
      <c r="F444" s="36">
        <v>43634</v>
      </c>
      <c r="G444" s="9">
        <f>VLOOKUP(A444,Sheet9!$A:$F,2,FALSE)</f>
        <v>45000000</v>
      </c>
      <c r="H444" s="9" t="str">
        <f>VLOOKUP(A444,Sheet9!$A:$F,3,FALSE )</f>
        <v>Cantt</v>
      </c>
      <c r="I444" s="9" t="str">
        <f>VLOOKUP(A444,Sheet9!$A:$F,4,FALSE)</f>
        <v>Lahore</v>
      </c>
      <c r="J444" s="9" t="str">
        <f>VLOOKUP(A444,Sheet9!$A:$F,5,FALSE)</f>
        <v>Punjab</v>
      </c>
      <c r="K444" s="9" t="str">
        <f>VLOOKUP(A444,Sheet9!$A:$F,6,FALSE)</f>
        <v>For Sale</v>
      </c>
      <c r="L444" s="9">
        <f t="shared" si="6"/>
        <v>2</v>
      </c>
    </row>
    <row r="445" spans="1:12" ht="15" thickBot="1">
      <c r="A445" s="31">
        <v>5293822</v>
      </c>
      <c r="B445" s="35">
        <v>3598</v>
      </c>
      <c r="C445" s="35" t="s">
        <v>153</v>
      </c>
      <c r="D445" s="35">
        <v>4</v>
      </c>
      <c r="E445" s="35">
        <v>5</v>
      </c>
      <c r="F445" s="36">
        <v>43618</v>
      </c>
      <c r="G445" s="9">
        <f>VLOOKUP(A445,Sheet9!$A:$F,2,FALSE)</f>
        <v>45000000</v>
      </c>
      <c r="H445" s="9" t="str">
        <f>VLOOKUP(A445,Sheet9!$A:$F,3,FALSE )</f>
        <v>Bahria Town</v>
      </c>
      <c r="I445" s="9" t="str">
        <f>VLOOKUP(A445,Sheet9!$A:$F,4,FALSE)</f>
        <v>Lahore</v>
      </c>
      <c r="J445" s="9" t="str">
        <f>VLOOKUP(A445,Sheet9!$A:$F,5,FALSE)</f>
        <v>Punjab</v>
      </c>
      <c r="K445" s="9" t="str">
        <f>VLOOKUP(A445,Sheet9!$A:$F,6,FALSE)</f>
        <v>For Sale</v>
      </c>
      <c r="L445" s="9">
        <f t="shared" si="6"/>
        <v>2</v>
      </c>
    </row>
    <row r="446" spans="1:12" ht="15" thickBot="1">
      <c r="A446" s="31">
        <v>5299655</v>
      </c>
      <c r="B446" s="35">
        <v>4237</v>
      </c>
      <c r="C446" s="35" t="s">
        <v>153</v>
      </c>
      <c r="D446" s="35">
        <v>6</v>
      </c>
      <c r="E446" s="35">
        <v>5</v>
      </c>
      <c r="F446" s="36">
        <v>43635</v>
      </c>
      <c r="G446" s="9">
        <f>VLOOKUP(A446,Sheet9!$A:$F,2,FALSE)</f>
        <v>30000000</v>
      </c>
      <c r="H446" s="9" t="str">
        <f>VLOOKUP(A446,Sheet9!$A:$F,3,FALSE )</f>
        <v>T &amp; T Aabpara Housing Society</v>
      </c>
      <c r="I446" s="9" t="str">
        <f>VLOOKUP(A446,Sheet9!$A:$F,4,FALSE)</f>
        <v>Lahore</v>
      </c>
      <c r="J446" s="9" t="str">
        <f>VLOOKUP(A446,Sheet9!$A:$F,5,FALSE)</f>
        <v>Punjab</v>
      </c>
      <c r="K446" s="9" t="str">
        <f>VLOOKUP(A446,Sheet9!$A:$F,6,FALSE)</f>
        <v>For Sale</v>
      </c>
      <c r="L446" s="9">
        <f t="shared" si="6"/>
        <v>2</v>
      </c>
    </row>
    <row r="447" spans="1:12" ht="15" thickBot="1">
      <c r="A447" s="31">
        <v>5310719</v>
      </c>
      <c r="B447" s="35">
        <v>1448</v>
      </c>
      <c r="C447" s="35" t="s">
        <v>153</v>
      </c>
      <c r="D447" s="35">
        <v>6</v>
      </c>
      <c r="E447" s="35">
        <v>5</v>
      </c>
      <c r="F447" s="36">
        <v>43499</v>
      </c>
      <c r="G447" s="9">
        <f>VLOOKUP(A447,Sheet9!$A:$F,2,FALSE)</f>
        <v>42000000</v>
      </c>
      <c r="H447" s="9" t="str">
        <f>VLOOKUP(A447,Sheet9!$A:$F,3,FALSE )</f>
        <v>DHA Defence</v>
      </c>
      <c r="I447" s="9" t="str">
        <f>VLOOKUP(A447,Sheet9!$A:$F,4,FALSE)</f>
        <v>Lahore</v>
      </c>
      <c r="J447" s="9" t="str">
        <f>VLOOKUP(A447,Sheet9!$A:$F,5,FALSE)</f>
        <v>Punjab</v>
      </c>
      <c r="K447" s="9" t="str">
        <f>VLOOKUP(A447,Sheet9!$A:$F,6,FALSE)</f>
        <v>For Sale</v>
      </c>
      <c r="L447" s="9">
        <f t="shared" si="6"/>
        <v>2</v>
      </c>
    </row>
    <row r="448" spans="1:12" ht="15" thickBot="1">
      <c r="A448" s="31">
        <v>5322505</v>
      </c>
      <c r="B448" s="35">
        <v>1448</v>
      </c>
      <c r="C448" s="35" t="s">
        <v>153</v>
      </c>
      <c r="D448" s="35">
        <v>6</v>
      </c>
      <c r="E448" s="35">
        <v>5</v>
      </c>
      <c r="F448" s="36">
        <v>43645</v>
      </c>
      <c r="G448" s="9">
        <f>VLOOKUP(A448,Sheet9!$A:$F,2,FALSE)</f>
        <v>42800000</v>
      </c>
      <c r="H448" s="9" t="str">
        <f>VLOOKUP(A448,Sheet9!$A:$F,3,FALSE )</f>
        <v>DHA Defence</v>
      </c>
      <c r="I448" s="9" t="str">
        <f>VLOOKUP(A448,Sheet9!$A:$F,4,FALSE)</f>
        <v>Lahore</v>
      </c>
      <c r="J448" s="9" t="str">
        <f>VLOOKUP(A448,Sheet9!$A:$F,5,FALSE)</f>
        <v>Punjab</v>
      </c>
      <c r="K448" s="9" t="str">
        <f>VLOOKUP(A448,Sheet9!$A:$F,6,FALSE)</f>
        <v>For Sale</v>
      </c>
      <c r="L448" s="9">
        <f t="shared" si="6"/>
        <v>2</v>
      </c>
    </row>
    <row r="449" spans="1:12" ht="15" thickBot="1">
      <c r="A449" s="31">
        <v>5323034</v>
      </c>
      <c r="B449" s="35">
        <v>1615</v>
      </c>
      <c r="C449" s="35" t="s">
        <v>153</v>
      </c>
      <c r="D449" s="35">
        <v>6</v>
      </c>
      <c r="E449" s="35">
        <v>5</v>
      </c>
      <c r="F449" s="36">
        <v>43529</v>
      </c>
      <c r="G449" s="9">
        <f>VLOOKUP(A449,Sheet9!$A:$F,2,FALSE)</f>
        <v>46000000</v>
      </c>
      <c r="H449" s="9" t="str">
        <f>VLOOKUP(A449,Sheet9!$A:$F,3,FALSE )</f>
        <v>DHA Defence</v>
      </c>
      <c r="I449" s="9" t="str">
        <f>VLOOKUP(A449,Sheet9!$A:$F,4,FALSE)</f>
        <v>Lahore</v>
      </c>
      <c r="J449" s="9" t="str">
        <f>VLOOKUP(A449,Sheet9!$A:$F,5,FALSE)</f>
        <v>Punjab</v>
      </c>
      <c r="K449" s="9" t="str">
        <f>VLOOKUP(A449,Sheet9!$A:$F,6,FALSE)</f>
        <v>For Sale</v>
      </c>
      <c r="L449" s="9">
        <f t="shared" si="6"/>
        <v>2</v>
      </c>
    </row>
    <row r="450" spans="1:12" ht="15" thickBot="1">
      <c r="A450" s="31">
        <v>5334452</v>
      </c>
      <c r="B450" s="35">
        <v>6869</v>
      </c>
      <c r="C450" s="35" t="s">
        <v>153</v>
      </c>
      <c r="D450" s="35">
        <v>7</v>
      </c>
      <c r="E450" s="35">
        <v>7</v>
      </c>
      <c r="F450" s="36">
        <v>43513</v>
      </c>
      <c r="G450" s="9">
        <f>VLOOKUP(A450,Sheet9!$A:$F,2,FALSE)</f>
        <v>150000000</v>
      </c>
      <c r="H450" s="9" t="str">
        <f>VLOOKUP(A450,Sheet9!$A:$F,3,FALSE )</f>
        <v>Gulshan-e-Iqbal Town</v>
      </c>
      <c r="I450" s="9" t="str">
        <f>VLOOKUP(A450,Sheet9!$A:$F,4,FALSE)</f>
        <v>Karachi</v>
      </c>
      <c r="J450" s="9" t="str">
        <f>VLOOKUP(A450,Sheet9!$A:$F,5,FALSE)</f>
        <v>Sindh</v>
      </c>
      <c r="K450" s="9" t="str">
        <f>VLOOKUP(A450,Sheet9!$A:$F,6,FALSE)</f>
        <v>For Sale</v>
      </c>
      <c r="L450" s="9">
        <f t="shared" si="6"/>
        <v>1</v>
      </c>
    </row>
    <row r="451" spans="1:12" ht="15" thickBot="1">
      <c r="A451" s="31">
        <v>5340712</v>
      </c>
      <c r="B451" s="35">
        <v>4457</v>
      </c>
      <c r="C451" s="35" t="s">
        <v>153</v>
      </c>
      <c r="D451" s="35">
        <v>3</v>
      </c>
      <c r="E451" s="35">
        <v>3</v>
      </c>
      <c r="F451" s="36">
        <v>43634</v>
      </c>
      <c r="G451" s="9">
        <f>VLOOKUP(A451,Sheet9!$A:$F,2,FALSE)</f>
        <v>4500000</v>
      </c>
      <c r="H451" s="9" t="str">
        <f>VLOOKUP(A451,Sheet9!$A:$F,3,FALSE )</f>
        <v>Al Faisal Town</v>
      </c>
      <c r="I451" s="9" t="str">
        <f>VLOOKUP(A451,Sheet9!$A:$F,4,FALSE)</f>
        <v>Lahore</v>
      </c>
      <c r="J451" s="9" t="str">
        <f>VLOOKUP(A451,Sheet9!$A:$F,5,FALSE)</f>
        <v>Punjab</v>
      </c>
      <c r="K451" s="9" t="str">
        <f>VLOOKUP(A451,Sheet9!$A:$F,6,FALSE)</f>
        <v>For Sale</v>
      </c>
      <c r="L451" s="9">
        <f t="shared" ref="L451:L514" si="7">HLOOKUP(J451,$N$1:$P$2,2,FALSE)</f>
        <v>2</v>
      </c>
    </row>
    <row r="452" spans="1:12" ht="15" thickBot="1">
      <c r="A452" s="31">
        <v>5341097</v>
      </c>
      <c r="B452" s="35">
        <v>3041</v>
      </c>
      <c r="C452" s="35" t="s">
        <v>153</v>
      </c>
      <c r="D452" s="35">
        <v>6</v>
      </c>
      <c r="E452" s="35">
        <v>5</v>
      </c>
      <c r="F452" s="36">
        <v>43350</v>
      </c>
      <c r="G452" s="9">
        <f>VLOOKUP(A452,Sheet9!$A:$F,2,FALSE)</f>
        <v>23500000</v>
      </c>
      <c r="H452" s="9" t="str">
        <f>VLOOKUP(A452,Sheet9!$A:$F,3,FALSE )</f>
        <v>Bahria Town Rawalpindi</v>
      </c>
      <c r="I452" s="9" t="str">
        <f>VLOOKUP(A452,Sheet9!$A:$F,4,FALSE)</f>
        <v>Rawalpindi</v>
      </c>
      <c r="J452" s="9" t="str">
        <f>VLOOKUP(A452,Sheet9!$A:$F,5,FALSE)</f>
        <v>Punjab</v>
      </c>
      <c r="K452" s="9" t="str">
        <f>VLOOKUP(A452,Sheet9!$A:$F,6,FALSE)</f>
        <v>For Sale</v>
      </c>
      <c r="L452" s="9">
        <f t="shared" si="7"/>
        <v>2</v>
      </c>
    </row>
    <row r="453" spans="1:12" ht="15" thickBot="1">
      <c r="A453" s="31">
        <v>5359816</v>
      </c>
      <c r="B453" s="35">
        <v>1709</v>
      </c>
      <c r="C453" s="35" t="s">
        <v>154</v>
      </c>
      <c r="D453" s="35">
        <v>2</v>
      </c>
      <c r="E453" s="35">
        <v>2</v>
      </c>
      <c r="F453" s="36">
        <v>43643</v>
      </c>
      <c r="G453" s="9">
        <f>VLOOKUP(A453,Sheet9!$A:$F,2,FALSE)</f>
        <v>27900000</v>
      </c>
      <c r="H453" s="9" t="str">
        <f>VLOOKUP(A453,Sheet9!$A:$F,3,FALSE )</f>
        <v>Jinnah Avenue</v>
      </c>
      <c r="I453" s="9" t="str">
        <f>VLOOKUP(A453,Sheet9!$A:$F,4,FALSE)</f>
        <v>Islamabad</v>
      </c>
      <c r="J453" s="9" t="str">
        <f>VLOOKUP(A453,Sheet9!$A:$F,5,FALSE)</f>
        <v>Islamabad Capital</v>
      </c>
      <c r="K453" s="9" t="str">
        <f>VLOOKUP(A453,Sheet9!$A:$F,6,FALSE)</f>
        <v>For Sale</v>
      </c>
      <c r="L453" s="9">
        <f t="shared" si="7"/>
        <v>3</v>
      </c>
    </row>
    <row r="454" spans="1:12" ht="15" thickBot="1">
      <c r="A454" s="31">
        <v>5360448</v>
      </c>
      <c r="B454" s="35">
        <v>1709</v>
      </c>
      <c r="C454" s="35" t="s">
        <v>154</v>
      </c>
      <c r="D454" s="35">
        <v>1</v>
      </c>
      <c r="E454" s="35">
        <v>1</v>
      </c>
      <c r="F454" s="36">
        <v>43643</v>
      </c>
      <c r="G454" s="9">
        <f>VLOOKUP(A454,Sheet9!$A:$F,2,FALSE)</f>
        <v>18400000</v>
      </c>
      <c r="H454" s="9" t="str">
        <f>VLOOKUP(A454,Sheet9!$A:$F,3,FALSE )</f>
        <v>Jinnah Avenue</v>
      </c>
      <c r="I454" s="9" t="str">
        <f>VLOOKUP(A454,Sheet9!$A:$F,4,FALSE)</f>
        <v>Islamabad</v>
      </c>
      <c r="J454" s="9" t="str">
        <f>VLOOKUP(A454,Sheet9!$A:$F,5,FALSE)</f>
        <v>Islamabad Capital</v>
      </c>
      <c r="K454" s="9" t="str">
        <f>VLOOKUP(A454,Sheet9!$A:$F,6,FALSE)</f>
        <v>For Sale</v>
      </c>
      <c r="L454" s="9">
        <f t="shared" si="7"/>
        <v>3</v>
      </c>
    </row>
    <row r="455" spans="1:12" ht="15" thickBot="1">
      <c r="A455" s="31">
        <v>5365656</v>
      </c>
      <c r="B455" s="35">
        <v>1504</v>
      </c>
      <c r="C455" s="35" t="s">
        <v>154</v>
      </c>
      <c r="D455" s="35">
        <v>4</v>
      </c>
      <c r="E455" s="35">
        <v>3</v>
      </c>
      <c r="F455" s="36">
        <v>43647</v>
      </c>
      <c r="G455" s="9">
        <f>VLOOKUP(A455,Sheet9!$A:$F,2,FALSE)</f>
        <v>11500000</v>
      </c>
      <c r="H455" s="9" t="str">
        <f>VLOOKUP(A455,Sheet9!$A:$F,3,FALSE )</f>
        <v>Askari 14</v>
      </c>
      <c r="I455" s="9" t="str">
        <f>VLOOKUP(A455,Sheet9!$A:$F,4,FALSE)</f>
        <v>Rawalpindi</v>
      </c>
      <c r="J455" s="9" t="str">
        <f>VLOOKUP(A455,Sheet9!$A:$F,5,FALSE)</f>
        <v>Punjab</v>
      </c>
      <c r="K455" s="9" t="str">
        <f>VLOOKUP(A455,Sheet9!$A:$F,6,FALSE)</f>
        <v>For Sale</v>
      </c>
      <c r="L455" s="9">
        <f t="shared" si="7"/>
        <v>2</v>
      </c>
    </row>
    <row r="456" spans="1:12" ht="15" thickBot="1">
      <c r="A456" s="31">
        <v>5365660</v>
      </c>
      <c r="B456" s="35">
        <v>1709</v>
      </c>
      <c r="C456" s="35" t="s">
        <v>154</v>
      </c>
      <c r="D456" s="35">
        <v>2</v>
      </c>
      <c r="E456" s="35">
        <v>2</v>
      </c>
      <c r="F456" s="36">
        <v>43643</v>
      </c>
      <c r="G456" s="9">
        <f>VLOOKUP(A456,Sheet9!$A:$F,2,FALSE)</f>
        <v>27100000</v>
      </c>
      <c r="H456" s="9" t="str">
        <f>VLOOKUP(A456,Sheet9!$A:$F,3,FALSE )</f>
        <v>Jinnah Avenue</v>
      </c>
      <c r="I456" s="9" t="str">
        <f>VLOOKUP(A456,Sheet9!$A:$F,4,FALSE)</f>
        <v>Islamabad</v>
      </c>
      <c r="J456" s="9" t="str">
        <f>VLOOKUP(A456,Sheet9!$A:$F,5,FALSE)</f>
        <v>Islamabad Capital</v>
      </c>
      <c r="K456" s="9" t="str">
        <f>VLOOKUP(A456,Sheet9!$A:$F,6,FALSE)</f>
        <v>For Sale</v>
      </c>
      <c r="L456" s="9">
        <f t="shared" si="7"/>
        <v>3</v>
      </c>
    </row>
    <row r="457" spans="1:12" ht="15" thickBot="1">
      <c r="A457" s="31">
        <v>5368039</v>
      </c>
      <c r="B457" s="35">
        <v>7219</v>
      </c>
      <c r="C457" s="35" t="s">
        <v>154</v>
      </c>
      <c r="D457" s="35">
        <v>2</v>
      </c>
      <c r="E457" s="35">
        <v>2</v>
      </c>
      <c r="F457" s="36">
        <v>43643</v>
      </c>
      <c r="G457" s="9">
        <f>VLOOKUP(A457,Sheet9!$A:$F,2,FALSE)</f>
        <v>25000</v>
      </c>
      <c r="H457" s="9" t="str">
        <f>VLOOKUP(A457,Sheet9!$A:$F,3,FALSE )</f>
        <v>North Nazimabad</v>
      </c>
      <c r="I457" s="9" t="str">
        <f>VLOOKUP(A457,Sheet9!$A:$F,4,FALSE)</f>
        <v>Karachi</v>
      </c>
      <c r="J457" s="9" t="str">
        <f>VLOOKUP(A457,Sheet9!$A:$F,5,FALSE)</f>
        <v>Sindh</v>
      </c>
      <c r="K457" s="9" t="str">
        <f>VLOOKUP(A457,Sheet9!$A:$F,6,FALSE)</f>
        <v>For Rent</v>
      </c>
      <c r="L457" s="9">
        <f t="shared" si="7"/>
        <v>1</v>
      </c>
    </row>
    <row r="458" spans="1:12" ht="15" thickBot="1">
      <c r="A458" s="31">
        <v>5371079</v>
      </c>
      <c r="B458" s="35">
        <v>7216</v>
      </c>
      <c r="C458" s="35" t="s">
        <v>153</v>
      </c>
      <c r="D458" s="35">
        <v>8</v>
      </c>
      <c r="E458" s="35">
        <v>8</v>
      </c>
      <c r="F458" s="36">
        <v>43649</v>
      </c>
      <c r="G458" s="9">
        <f>VLOOKUP(A458,Sheet9!$A:$F,2,FALSE)</f>
        <v>110000000</v>
      </c>
      <c r="H458" s="9" t="str">
        <f>VLOOKUP(A458,Sheet9!$A:$F,3,FALSE )</f>
        <v>North Nazimabad</v>
      </c>
      <c r="I458" s="9" t="str">
        <f>VLOOKUP(A458,Sheet9!$A:$F,4,FALSE)</f>
        <v>Karachi</v>
      </c>
      <c r="J458" s="9" t="str">
        <f>VLOOKUP(A458,Sheet9!$A:$F,5,FALSE)</f>
        <v>Sindh</v>
      </c>
      <c r="K458" s="9" t="str">
        <f>VLOOKUP(A458,Sheet9!$A:$F,6,FALSE)</f>
        <v>For Sale</v>
      </c>
      <c r="L458" s="9">
        <f t="shared" si="7"/>
        <v>1</v>
      </c>
    </row>
    <row r="459" spans="1:12" ht="15" thickBot="1">
      <c r="A459" s="31">
        <v>5378066</v>
      </c>
      <c r="B459" s="35">
        <v>3520</v>
      </c>
      <c r="C459" s="35" t="s">
        <v>153</v>
      </c>
      <c r="D459" s="35">
        <v>7</v>
      </c>
      <c r="E459" s="35">
        <v>7</v>
      </c>
      <c r="F459" s="36">
        <v>43634</v>
      </c>
      <c r="G459" s="9">
        <f>VLOOKUP(A459,Sheet9!$A:$F,2,FALSE)</f>
        <v>21000000</v>
      </c>
      <c r="H459" s="9" t="str">
        <f>VLOOKUP(A459,Sheet9!$A:$F,3,FALSE )</f>
        <v>Allama Iqbal Town</v>
      </c>
      <c r="I459" s="9" t="str">
        <f>VLOOKUP(A459,Sheet9!$A:$F,4,FALSE)</f>
        <v>Lahore</v>
      </c>
      <c r="J459" s="9" t="str">
        <f>VLOOKUP(A459,Sheet9!$A:$F,5,FALSE)</f>
        <v>Punjab</v>
      </c>
      <c r="K459" s="9" t="str">
        <f>VLOOKUP(A459,Sheet9!$A:$F,6,FALSE)</f>
        <v>For Sale</v>
      </c>
      <c r="L459" s="9">
        <f t="shared" si="7"/>
        <v>2</v>
      </c>
    </row>
    <row r="460" spans="1:12" ht="15" thickBot="1">
      <c r="A460" s="31">
        <v>5382674</v>
      </c>
      <c r="B460" s="35">
        <v>165</v>
      </c>
      <c r="C460" s="35" t="s">
        <v>153</v>
      </c>
      <c r="D460" s="35">
        <v>4</v>
      </c>
      <c r="E460" s="35">
        <v>4</v>
      </c>
      <c r="F460" s="36">
        <v>43636</v>
      </c>
      <c r="G460" s="9">
        <f>VLOOKUP(A460,Sheet9!$A:$F,2,FALSE)</f>
        <v>650000</v>
      </c>
      <c r="H460" s="9" t="str">
        <f>VLOOKUP(A460,Sheet9!$A:$F,3,FALSE )</f>
        <v>F-7</v>
      </c>
      <c r="I460" s="9" t="str">
        <f>VLOOKUP(A460,Sheet9!$A:$F,4,FALSE)</f>
        <v>Islamabad</v>
      </c>
      <c r="J460" s="9" t="str">
        <f>VLOOKUP(A460,Sheet9!$A:$F,5,FALSE)</f>
        <v>Islamabad Capital</v>
      </c>
      <c r="K460" s="9" t="str">
        <f>VLOOKUP(A460,Sheet9!$A:$F,6,FALSE)</f>
        <v>For Rent</v>
      </c>
      <c r="L460" s="9">
        <f t="shared" si="7"/>
        <v>3</v>
      </c>
    </row>
    <row r="461" spans="1:12" ht="15" thickBot="1">
      <c r="A461" s="31">
        <v>5391293</v>
      </c>
      <c r="B461" s="35">
        <v>232</v>
      </c>
      <c r="C461" s="35" t="s">
        <v>154</v>
      </c>
      <c r="D461" s="35">
        <v>0</v>
      </c>
      <c r="E461" s="35">
        <v>2</v>
      </c>
      <c r="F461" s="36">
        <v>43664</v>
      </c>
      <c r="G461" s="9">
        <f>VLOOKUP(A461,Sheet9!$A:$F,2,FALSE)</f>
        <v>18000</v>
      </c>
      <c r="H461" s="9" t="str">
        <f>VLOOKUP(A461,Sheet9!$A:$F,3,FALSE )</f>
        <v>Gulistan-e-Jauhar</v>
      </c>
      <c r="I461" s="9" t="str">
        <f>VLOOKUP(A461,Sheet9!$A:$F,4,FALSE)</f>
        <v>Karachi</v>
      </c>
      <c r="J461" s="9" t="str">
        <f>VLOOKUP(A461,Sheet9!$A:$F,5,FALSE)</f>
        <v>Sindh</v>
      </c>
      <c r="K461" s="9" t="str">
        <f>VLOOKUP(A461,Sheet9!$A:$F,6,FALSE)</f>
        <v>For Rent</v>
      </c>
      <c r="L461" s="9">
        <f t="shared" si="7"/>
        <v>1</v>
      </c>
    </row>
    <row r="462" spans="1:12" ht="15" thickBot="1">
      <c r="A462" s="31">
        <v>5395928</v>
      </c>
      <c r="B462" s="35">
        <v>478</v>
      </c>
      <c r="C462" s="35" t="s">
        <v>153</v>
      </c>
      <c r="D462" s="35">
        <v>4</v>
      </c>
      <c r="E462" s="35">
        <v>4</v>
      </c>
      <c r="F462" s="36">
        <v>43500</v>
      </c>
      <c r="G462" s="9">
        <f>VLOOKUP(A462,Sheet9!$A:$F,2,FALSE)</f>
        <v>13000000</v>
      </c>
      <c r="H462" s="9" t="str">
        <f>VLOOKUP(A462,Sheet9!$A:$F,3,FALSE )</f>
        <v>Adiala Road</v>
      </c>
      <c r="I462" s="9" t="str">
        <f>VLOOKUP(A462,Sheet9!$A:$F,4,FALSE)</f>
        <v>Rawalpindi</v>
      </c>
      <c r="J462" s="9" t="str">
        <f>VLOOKUP(A462,Sheet9!$A:$F,5,FALSE)</f>
        <v>Punjab</v>
      </c>
      <c r="K462" s="9" t="str">
        <f>VLOOKUP(A462,Sheet9!$A:$F,6,FALSE)</f>
        <v>For Sale</v>
      </c>
      <c r="L462" s="9">
        <f t="shared" si="7"/>
        <v>2</v>
      </c>
    </row>
    <row r="463" spans="1:12" ht="15" thickBot="1">
      <c r="A463" s="31">
        <v>5404521</v>
      </c>
      <c r="B463" s="35">
        <v>8172</v>
      </c>
      <c r="C463" s="35" t="s">
        <v>153</v>
      </c>
      <c r="D463" s="35">
        <v>8</v>
      </c>
      <c r="E463" s="35">
        <v>7</v>
      </c>
      <c r="F463" s="36">
        <v>43634</v>
      </c>
      <c r="G463" s="9">
        <f>VLOOKUP(A463,Sheet9!$A:$F,2,FALSE)</f>
        <v>67500000</v>
      </c>
      <c r="H463" s="9" t="str">
        <f>VLOOKUP(A463,Sheet9!$A:$F,3,FALSE )</f>
        <v>DHA Defence</v>
      </c>
      <c r="I463" s="9" t="str">
        <f>VLOOKUP(A463,Sheet9!$A:$F,4,FALSE)</f>
        <v>Lahore</v>
      </c>
      <c r="J463" s="9" t="str">
        <f>VLOOKUP(A463,Sheet9!$A:$F,5,FALSE)</f>
        <v>Punjab</v>
      </c>
      <c r="K463" s="9" t="str">
        <f>VLOOKUP(A463,Sheet9!$A:$F,6,FALSE)</f>
        <v>For Sale</v>
      </c>
      <c r="L463" s="9">
        <f t="shared" si="7"/>
        <v>2</v>
      </c>
    </row>
    <row r="464" spans="1:12" ht="15" thickBot="1">
      <c r="A464" s="31">
        <v>5415337</v>
      </c>
      <c r="B464" s="35">
        <v>1604</v>
      </c>
      <c r="C464" s="35" t="s">
        <v>153</v>
      </c>
      <c r="D464" s="35">
        <v>6</v>
      </c>
      <c r="E464" s="35">
        <v>5</v>
      </c>
      <c r="F464" s="36">
        <v>43634</v>
      </c>
      <c r="G464" s="9">
        <f>VLOOKUP(A464,Sheet9!$A:$F,2,FALSE)</f>
        <v>57500000</v>
      </c>
      <c r="H464" s="9" t="str">
        <f>VLOOKUP(A464,Sheet9!$A:$F,3,FALSE )</f>
        <v>DHA Defence</v>
      </c>
      <c r="I464" s="9" t="str">
        <f>VLOOKUP(A464,Sheet9!$A:$F,4,FALSE)</f>
        <v>Lahore</v>
      </c>
      <c r="J464" s="9" t="str">
        <f>VLOOKUP(A464,Sheet9!$A:$F,5,FALSE)</f>
        <v>Punjab</v>
      </c>
      <c r="K464" s="9" t="str">
        <f>VLOOKUP(A464,Sheet9!$A:$F,6,FALSE)</f>
        <v>For Sale</v>
      </c>
      <c r="L464" s="9">
        <f t="shared" si="7"/>
        <v>2</v>
      </c>
    </row>
    <row r="465" spans="1:12" ht="15" thickBot="1">
      <c r="A465" s="31">
        <v>5415958</v>
      </c>
      <c r="B465" s="35">
        <v>1605</v>
      </c>
      <c r="C465" s="35" t="s">
        <v>153</v>
      </c>
      <c r="D465" s="35">
        <v>6</v>
      </c>
      <c r="E465" s="35">
        <v>5</v>
      </c>
      <c r="F465" s="36">
        <v>43641</v>
      </c>
      <c r="G465" s="9">
        <f>VLOOKUP(A465,Sheet9!$A:$F,2,FALSE)</f>
        <v>59000000</v>
      </c>
      <c r="H465" s="9" t="str">
        <f>VLOOKUP(A465,Sheet9!$A:$F,3,FALSE )</f>
        <v>DHA Defence</v>
      </c>
      <c r="I465" s="9" t="str">
        <f>VLOOKUP(A465,Sheet9!$A:$F,4,FALSE)</f>
        <v>Lahore</v>
      </c>
      <c r="J465" s="9" t="str">
        <f>VLOOKUP(A465,Sheet9!$A:$F,5,FALSE)</f>
        <v>Punjab</v>
      </c>
      <c r="K465" s="9" t="str">
        <f>VLOOKUP(A465,Sheet9!$A:$F,6,FALSE)</f>
        <v>For Sale</v>
      </c>
      <c r="L465" s="9">
        <f t="shared" si="7"/>
        <v>2</v>
      </c>
    </row>
    <row r="466" spans="1:12" ht="15" thickBot="1">
      <c r="A466" s="31">
        <v>5416999</v>
      </c>
      <c r="B466" s="35">
        <v>11579</v>
      </c>
      <c r="C466" s="35" t="s">
        <v>153</v>
      </c>
      <c r="D466" s="35">
        <v>6</v>
      </c>
      <c r="E466" s="35">
        <v>6</v>
      </c>
      <c r="F466" s="36">
        <v>43621</v>
      </c>
      <c r="G466" s="9">
        <f>VLOOKUP(A466,Sheet9!$A:$F,2,FALSE)</f>
        <v>110000000</v>
      </c>
      <c r="H466" s="9" t="str">
        <f>VLOOKUP(A466,Sheet9!$A:$F,3,FALSE )</f>
        <v>Navy Housing Scheme Karsaz</v>
      </c>
      <c r="I466" s="9" t="str">
        <f>VLOOKUP(A466,Sheet9!$A:$F,4,FALSE)</f>
        <v>Karachi</v>
      </c>
      <c r="J466" s="9" t="str">
        <f>VLOOKUP(A466,Sheet9!$A:$F,5,FALSE)</f>
        <v>Sindh</v>
      </c>
      <c r="K466" s="9" t="str">
        <f>VLOOKUP(A466,Sheet9!$A:$F,6,FALSE)</f>
        <v>For Sale</v>
      </c>
      <c r="L466" s="9">
        <f t="shared" si="7"/>
        <v>1</v>
      </c>
    </row>
    <row r="467" spans="1:12" ht="15" thickBot="1">
      <c r="A467" s="31">
        <v>5437906</v>
      </c>
      <c r="B467" s="35">
        <v>376</v>
      </c>
      <c r="C467" s="35" t="s">
        <v>153</v>
      </c>
      <c r="D467" s="35">
        <v>5</v>
      </c>
      <c r="E467" s="35">
        <v>3</v>
      </c>
      <c r="F467" s="36">
        <v>43440</v>
      </c>
      <c r="G467" s="9">
        <f>VLOOKUP(A467,Sheet9!$A:$F,2,FALSE)</f>
        <v>120000</v>
      </c>
      <c r="H467" s="9" t="str">
        <f>VLOOKUP(A467,Sheet9!$A:$F,3,FALSE )</f>
        <v>DHA Defence</v>
      </c>
      <c r="I467" s="9" t="str">
        <f>VLOOKUP(A467,Sheet9!$A:$F,4,FALSE)</f>
        <v>Islamabad</v>
      </c>
      <c r="J467" s="9" t="str">
        <f>VLOOKUP(A467,Sheet9!$A:$F,5,FALSE)</f>
        <v>Islamabad Capital</v>
      </c>
      <c r="K467" s="9" t="str">
        <f>VLOOKUP(A467,Sheet9!$A:$F,6,FALSE)</f>
        <v>For Rent</v>
      </c>
      <c r="L467" s="9">
        <f t="shared" si="7"/>
        <v>3</v>
      </c>
    </row>
    <row r="468" spans="1:12" ht="15" thickBot="1">
      <c r="A468" s="31">
        <v>5442936</v>
      </c>
      <c r="B468" s="35">
        <v>706</v>
      </c>
      <c r="C468" s="35" t="s">
        <v>154</v>
      </c>
      <c r="D468" s="35">
        <v>2</v>
      </c>
      <c r="E468" s="35">
        <v>2</v>
      </c>
      <c r="F468" s="36">
        <v>43470</v>
      </c>
      <c r="G468" s="9">
        <f>VLOOKUP(A468,Sheet9!$A:$F,2,FALSE)</f>
        <v>20500</v>
      </c>
      <c r="H468" s="9" t="str">
        <f>VLOOKUP(A468,Sheet9!$A:$F,3,FALSE )</f>
        <v>I-11</v>
      </c>
      <c r="I468" s="9" t="str">
        <f>VLOOKUP(A468,Sheet9!$A:$F,4,FALSE)</f>
        <v>Islamabad</v>
      </c>
      <c r="J468" s="9" t="str">
        <f>VLOOKUP(A468,Sheet9!$A:$F,5,FALSE)</f>
        <v>Islamabad Capital</v>
      </c>
      <c r="K468" s="9" t="str">
        <f>VLOOKUP(A468,Sheet9!$A:$F,6,FALSE)</f>
        <v>For Rent</v>
      </c>
      <c r="L468" s="9">
        <f t="shared" si="7"/>
        <v>3</v>
      </c>
    </row>
    <row r="469" spans="1:12" ht="15" thickBot="1">
      <c r="A469" s="31">
        <v>5457608</v>
      </c>
      <c r="B469" s="35">
        <v>7209</v>
      </c>
      <c r="C469" s="35" t="s">
        <v>154</v>
      </c>
      <c r="D469" s="35">
        <v>4</v>
      </c>
      <c r="E469" s="35">
        <v>3</v>
      </c>
      <c r="F469" s="36">
        <v>43513</v>
      </c>
      <c r="G469" s="9">
        <f>VLOOKUP(A469,Sheet9!$A:$F,2,FALSE)</f>
        <v>9500000</v>
      </c>
      <c r="H469" s="9" t="str">
        <f>VLOOKUP(A469,Sheet9!$A:$F,3,FALSE )</f>
        <v>North Nazimabad</v>
      </c>
      <c r="I469" s="9" t="str">
        <f>VLOOKUP(A469,Sheet9!$A:$F,4,FALSE)</f>
        <v>Karachi</v>
      </c>
      <c r="J469" s="9" t="str">
        <f>VLOOKUP(A469,Sheet9!$A:$F,5,FALSE)</f>
        <v>Sindh</v>
      </c>
      <c r="K469" s="9" t="str">
        <f>VLOOKUP(A469,Sheet9!$A:$F,6,FALSE)</f>
        <v>For Sale</v>
      </c>
      <c r="L469" s="9">
        <f t="shared" si="7"/>
        <v>1</v>
      </c>
    </row>
    <row r="470" spans="1:12" ht="15" thickBot="1">
      <c r="A470" s="31">
        <v>5463432</v>
      </c>
      <c r="B470" s="35">
        <v>1517</v>
      </c>
      <c r="C470" s="35" t="s">
        <v>153</v>
      </c>
      <c r="D470" s="35">
        <v>5</v>
      </c>
      <c r="E470" s="35">
        <v>5</v>
      </c>
      <c r="F470" s="36">
        <v>43589</v>
      </c>
      <c r="G470" s="9">
        <f>VLOOKUP(A470,Sheet9!$A:$F,2,FALSE)</f>
        <v>13500000</v>
      </c>
      <c r="H470" s="9" t="str">
        <f>VLOOKUP(A470,Sheet9!$A:$F,3,FALSE )</f>
        <v>T &amp; T Aabpara Housing Society</v>
      </c>
      <c r="I470" s="9" t="str">
        <f>VLOOKUP(A470,Sheet9!$A:$F,4,FALSE)</f>
        <v>Lahore</v>
      </c>
      <c r="J470" s="9" t="str">
        <f>VLOOKUP(A470,Sheet9!$A:$F,5,FALSE)</f>
        <v>Punjab</v>
      </c>
      <c r="K470" s="9" t="str">
        <f>VLOOKUP(A470,Sheet9!$A:$F,6,FALSE)</f>
        <v>For Sale</v>
      </c>
      <c r="L470" s="9">
        <f t="shared" si="7"/>
        <v>2</v>
      </c>
    </row>
    <row r="471" spans="1:12" ht="15" thickBot="1">
      <c r="A471" s="31">
        <v>5464825</v>
      </c>
      <c r="B471" s="35">
        <v>8467</v>
      </c>
      <c r="C471" s="35" t="s">
        <v>153</v>
      </c>
      <c r="D471" s="35">
        <v>3</v>
      </c>
      <c r="E471" s="35">
        <v>3</v>
      </c>
      <c r="F471" s="36">
        <v>43647</v>
      </c>
      <c r="G471" s="9">
        <f>VLOOKUP(A471,Sheet9!$A:$F,2,FALSE)</f>
        <v>10500000</v>
      </c>
      <c r="H471" s="9" t="str">
        <f>VLOOKUP(A471,Sheet9!$A:$F,3,FALSE )</f>
        <v>Bahria Town Rawalpindi</v>
      </c>
      <c r="I471" s="9" t="str">
        <f>VLOOKUP(A471,Sheet9!$A:$F,4,FALSE)</f>
        <v>Rawalpindi</v>
      </c>
      <c r="J471" s="9" t="str">
        <f>VLOOKUP(A471,Sheet9!$A:$F,5,FALSE)</f>
        <v>Punjab</v>
      </c>
      <c r="K471" s="9" t="str">
        <f>VLOOKUP(A471,Sheet9!$A:$F,6,FALSE)</f>
        <v>For Sale</v>
      </c>
      <c r="L471" s="9">
        <f t="shared" si="7"/>
        <v>2</v>
      </c>
    </row>
    <row r="472" spans="1:12" ht="15" thickBot="1">
      <c r="A472" s="31">
        <v>5480681</v>
      </c>
      <c r="B472" s="35">
        <v>9522</v>
      </c>
      <c r="C472" s="35" t="s">
        <v>154</v>
      </c>
      <c r="D472" s="35">
        <v>3</v>
      </c>
      <c r="E472" s="35">
        <v>5</v>
      </c>
      <c r="F472" s="36">
        <v>43643</v>
      </c>
      <c r="G472" s="9">
        <f>VLOOKUP(A472,Sheet9!$A:$F,2,FALSE)</f>
        <v>3500000</v>
      </c>
      <c r="H472" s="9" t="str">
        <f>VLOOKUP(A472,Sheet9!$A:$F,3,FALSE )</f>
        <v>Abul Hassan Isphani Road</v>
      </c>
      <c r="I472" s="9" t="str">
        <f>VLOOKUP(A472,Sheet9!$A:$F,4,FALSE)</f>
        <v>Karachi</v>
      </c>
      <c r="J472" s="9" t="str">
        <f>VLOOKUP(A472,Sheet9!$A:$F,5,FALSE)</f>
        <v>Sindh</v>
      </c>
      <c r="K472" s="9" t="str">
        <f>VLOOKUP(A472,Sheet9!$A:$F,6,FALSE)</f>
        <v>For Sale</v>
      </c>
      <c r="L472" s="9">
        <f t="shared" si="7"/>
        <v>1</v>
      </c>
    </row>
    <row r="473" spans="1:12" ht="15" thickBot="1">
      <c r="A473" s="31">
        <v>5481174</v>
      </c>
      <c r="B473" s="35">
        <v>1503</v>
      </c>
      <c r="C473" s="35" t="s">
        <v>154</v>
      </c>
      <c r="D473" s="35">
        <v>2</v>
      </c>
      <c r="E473" s="35">
        <v>2</v>
      </c>
      <c r="F473" s="36">
        <v>43647</v>
      </c>
      <c r="G473" s="9">
        <f>VLOOKUP(A473,Sheet9!$A:$F,2,FALSE)</f>
        <v>7000000</v>
      </c>
      <c r="H473" s="9" t="str">
        <f>VLOOKUP(A473,Sheet9!$A:$F,3,FALSE )</f>
        <v>Askari</v>
      </c>
      <c r="I473" s="9" t="str">
        <f>VLOOKUP(A473,Sheet9!$A:$F,4,FALSE)</f>
        <v>Lahore</v>
      </c>
      <c r="J473" s="9" t="str">
        <f>VLOOKUP(A473,Sheet9!$A:$F,5,FALSE)</f>
        <v>Punjab</v>
      </c>
      <c r="K473" s="9" t="str">
        <f>VLOOKUP(A473,Sheet9!$A:$F,6,FALSE)</f>
        <v>For Sale</v>
      </c>
      <c r="L473" s="9">
        <f t="shared" si="7"/>
        <v>2</v>
      </c>
    </row>
    <row r="474" spans="1:12" ht="15" thickBot="1">
      <c r="A474" s="31">
        <v>5484129</v>
      </c>
      <c r="B474" s="35">
        <v>1670</v>
      </c>
      <c r="C474" s="35" t="s">
        <v>154</v>
      </c>
      <c r="D474" s="35">
        <v>4</v>
      </c>
      <c r="E474" s="35">
        <v>3</v>
      </c>
      <c r="F474" s="36">
        <v>43642</v>
      </c>
      <c r="G474" s="9">
        <f>VLOOKUP(A474,Sheet9!$A:$F,2,FALSE)</f>
        <v>85000</v>
      </c>
      <c r="H474" s="9" t="str">
        <f>VLOOKUP(A474,Sheet9!$A:$F,3,FALSE )</f>
        <v>Clifton</v>
      </c>
      <c r="I474" s="9" t="str">
        <f>VLOOKUP(A474,Sheet9!$A:$F,4,FALSE)</f>
        <v>Karachi</v>
      </c>
      <c r="J474" s="9" t="str">
        <f>VLOOKUP(A474,Sheet9!$A:$F,5,FALSE)</f>
        <v>Sindh</v>
      </c>
      <c r="K474" s="9" t="str">
        <f>VLOOKUP(A474,Sheet9!$A:$F,6,FALSE)</f>
        <v>For Rent</v>
      </c>
      <c r="L474" s="9">
        <f t="shared" si="7"/>
        <v>1</v>
      </c>
    </row>
    <row r="475" spans="1:12" ht="15" thickBot="1">
      <c r="A475" s="31">
        <v>5493171</v>
      </c>
      <c r="B475" s="35">
        <v>7167</v>
      </c>
      <c r="C475" s="35" t="s">
        <v>153</v>
      </c>
      <c r="D475" s="35">
        <v>5</v>
      </c>
      <c r="E475" s="35">
        <v>4</v>
      </c>
      <c r="F475" s="36">
        <v>43483</v>
      </c>
      <c r="G475" s="9">
        <f>VLOOKUP(A475,Sheet9!$A:$F,2,FALSE)</f>
        <v>40000000</v>
      </c>
      <c r="H475" s="9" t="str">
        <f>VLOOKUP(A475,Sheet9!$A:$F,3,FALSE )</f>
        <v>New Karachi</v>
      </c>
      <c r="I475" s="9" t="str">
        <f>VLOOKUP(A475,Sheet9!$A:$F,4,FALSE)</f>
        <v>Karachi</v>
      </c>
      <c r="J475" s="9" t="str">
        <f>VLOOKUP(A475,Sheet9!$A:$F,5,FALSE)</f>
        <v>Sindh</v>
      </c>
      <c r="K475" s="9" t="str">
        <f>VLOOKUP(A475,Sheet9!$A:$F,6,FALSE)</f>
        <v>For Sale</v>
      </c>
      <c r="L475" s="9">
        <f t="shared" si="7"/>
        <v>1</v>
      </c>
    </row>
    <row r="476" spans="1:12" ht="15" thickBot="1">
      <c r="A476" s="31">
        <v>5493254</v>
      </c>
      <c r="B476" s="35">
        <v>8336</v>
      </c>
      <c r="C476" s="35" t="s">
        <v>153</v>
      </c>
      <c r="D476" s="35">
        <v>8</v>
      </c>
      <c r="E476" s="35">
        <v>8</v>
      </c>
      <c r="F476" s="36">
        <v>43483</v>
      </c>
      <c r="G476" s="9">
        <f>VLOOKUP(A476,Sheet9!$A:$F,2,FALSE)</f>
        <v>200000</v>
      </c>
      <c r="H476" s="9" t="str">
        <f>VLOOKUP(A476,Sheet9!$A:$F,3,FALSE )</f>
        <v>New Lalazar</v>
      </c>
      <c r="I476" s="9" t="str">
        <f>VLOOKUP(A476,Sheet9!$A:$F,4,FALSE)</f>
        <v>Rawalpindi</v>
      </c>
      <c r="J476" s="9" t="str">
        <f>VLOOKUP(A476,Sheet9!$A:$F,5,FALSE)</f>
        <v>Punjab</v>
      </c>
      <c r="K476" s="9" t="str">
        <f>VLOOKUP(A476,Sheet9!$A:$F,6,FALSE)</f>
        <v>For Rent</v>
      </c>
      <c r="L476" s="9">
        <f t="shared" si="7"/>
        <v>2</v>
      </c>
    </row>
    <row r="477" spans="1:12" ht="15" thickBot="1">
      <c r="A477" s="31">
        <v>5499394</v>
      </c>
      <c r="B477" s="35">
        <v>893</v>
      </c>
      <c r="C477" s="35" t="s">
        <v>153</v>
      </c>
      <c r="D477" s="35">
        <v>4</v>
      </c>
      <c r="E477" s="35">
        <v>3</v>
      </c>
      <c r="F477" s="36">
        <v>43663</v>
      </c>
      <c r="G477" s="9">
        <f>VLOOKUP(A477,Sheet9!$A:$F,2,FALSE)</f>
        <v>9000000</v>
      </c>
      <c r="H477" s="9" t="str">
        <f>VLOOKUP(A477,Sheet9!$A:$F,3,FALSE )</f>
        <v>Gulshan-e-Ravi</v>
      </c>
      <c r="I477" s="9" t="str">
        <f>VLOOKUP(A477,Sheet9!$A:$F,4,FALSE)</f>
        <v>Lahore</v>
      </c>
      <c r="J477" s="9" t="str">
        <f>VLOOKUP(A477,Sheet9!$A:$F,5,FALSE)</f>
        <v>Punjab</v>
      </c>
      <c r="K477" s="9" t="str">
        <f>VLOOKUP(A477,Sheet9!$A:$F,6,FALSE)</f>
        <v>For Sale</v>
      </c>
      <c r="L477" s="9">
        <f t="shared" si="7"/>
        <v>2</v>
      </c>
    </row>
    <row r="478" spans="1:12" ht="15" thickBot="1">
      <c r="A478" s="31">
        <v>5503427</v>
      </c>
      <c r="B478" s="35">
        <v>8336</v>
      </c>
      <c r="C478" s="35" t="s">
        <v>153</v>
      </c>
      <c r="D478" s="35">
        <v>8</v>
      </c>
      <c r="E478" s="35">
        <v>8</v>
      </c>
      <c r="F478" s="36">
        <v>43513</v>
      </c>
      <c r="G478" s="9">
        <f>VLOOKUP(A478,Sheet9!$A:$F,2,FALSE)</f>
        <v>200000</v>
      </c>
      <c r="H478" s="9" t="str">
        <f>VLOOKUP(A478,Sheet9!$A:$F,3,FALSE )</f>
        <v>New Lalazar</v>
      </c>
      <c r="I478" s="9" t="str">
        <f>VLOOKUP(A478,Sheet9!$A:$F,4,FALSE)</f>
        <v>Rawalpindi</v>
      </c>
      <c r="J478" s="9" t="str">
        <f>VLOOKUP(A478,Sheet9!$A:$F,5,FALSE)</f>
        <v>Punjab</v>
      </c>
      <c r="K478" s="9" t="str">
        <f>VLOOKUP(A478,Sheet9!$A:$F,6,FALSE)</f>
        <v>For Rent</v>
      </c>
      <c r="L478" s="9">
        <f t="shared" si="7"/>
        <v>2</v>
      </c>
    </row>
    <row r="479" spans="1:12" ht="15" thickBot="1">
      <c r="A479" s="31">
        <v>5505069</v>
      </c>
      <c r="B479" s="35">
        <v>3340</v>
      </c>
      <c r="C479" s="35" t="s">
        <v>153</v>
      </c>
      <c r="D479" s="35">
        <v>10</v>
      </c>
      <c r="E479" s="35">
        <v>8</v>
      </c>
      <c r="F479" s="36">
        <v>43500</v>
      </c>
      <c r="G479" s="9">
        <f>VLOOKUP(A479,Sheet9!$A:$F,2,FALSE)</f>
        <v>31000000</v>
      </c>
      <c r="H479" s="9" t="str">
        <f>VLOOKUP(A479,Sheet9!$A:$F,3,FALSE )</f>
        <v>G-13</v>
      </c>
      <c r="I479" s="9" t="str">
        <f>VLOOKUP(A479,Sheet9!$A:$F,4,FALSE)</f>
        <v>Islamabad</v>
      </c>
      <c r="J479" s="9" t="str">
        <f>VLOOKUP(A479,Sheet9!$A:$F,5,FALSE)</f>
        <v>Islamabad Capital</v>
      </c>
      <c r="K479" s="9" t="str">
        <f>VLOOKUP(A479,Sheet9!$A:$F,6,FALSE)</f>
        <v>For Sale</v>
      </c>
      <c r="L479" s="9">
        <f t="shared" si="7"/>
        <v>3</v>
      </c>
    </row>
    <row r="480" spans="1:12" ht="15" thickBot="1">
      <c r="A480" s="31">
        <v>5505085</v>
      </c>
      <c r="B480" s="35">
        <v>6651</v>
      </c>
      <c r="C480" s="35" t="s">
        <v>153</v>
      </c>
      <c r="D480" s="35">
        <v>3</v>
      </c>
      <c r="E480" s="35">
        <v>2</v>
      </c>
      <c r="F480" s="36">
        <v>43574</v>
      </c>
      <c r="G480" s="9">
        <f>VLOOKUP(A480,Sheet9!$A:$F,2,FALSE)</f>
        <v>23000</v>
      </c>
      <c r="H480" s="9" t="str">
        <f>VLOOKUP(A480,Sheet9!$A:$F,3,FALSE )</f>
        <v>Malir</v>
      </c>
      <c r="I480" s="9" t="str">
        <f>VLOOKUP(A480,Sheet9!$A:$F,4,FALSE)</f>
        <v>Karachi</v>
      </c>
      <c r="J480" s="9" t="str">
        <f>VLOOKUP(A480,Sheet9!$A:$F,5,FALSE)</f>
        <v>Sindh</v>
      </c>
      <c r="K480" s="9" t="str">
        <f>VLOOKUP(A480,Sheet9!$A:$F,6,FALSE)</f>
        <v>For Rent</v>
      </c>
      <c r="L480" s="9">
        <f t="shared" si="7"/>
        <v>1</v>
      </c>
    </row>
    <row r="481" spans="1:12" ht="15" thickBot="1">
      <c r="A481" s="31">
        <v>5517491</v>
      </c>
      <c r="B481" s="35">
        <v>6655</v>
      </c>
      <c r="C481" s="35" t="s">
        <v>153</v>
      </c>
      <c r="D481" s="35">
        <v>6</v>
      </c>
      <c r="E481" s="35">
        <v>5</v>
      </c>
      <c r="F481" s="36">
        <v>43564</v>
      </c>
      <c r="G481" s="9">
        <f>VLOOKUP(A481,Sheet9!$A:$F,2,FALSE)</f>
        <v>70000000</v>
      </c>
      <c r="H481" s="9" t="str">
        <f>VLOOKUP(A481,Sheet9!$A:$F,3,FALSE )</f>
        <v>Cantt</v>
      </c>
      <c r="I481" s="9" t="str">
        <f>VLOOKUP(A481,Sheet9!$A:$F,4,FALSE)</f>
        <v>Karachi</v>
      </c>
      <c r="J481" s="9" t="str">
        <f>VLOOKUP(A481,Sheet9!$A:$F,5,FALSE)</f>
        <v>Sindh</v>
      </c>
      <c r="K481" s="9" t="str">
        <f>VLOOKUP(A481,Sheet9!$A:$F,6,FALSE)</f>
        <v>For Sale</v>
      </c>
      <c r="L481" s="9">
        <f t="shared" si="7"/>
        <v>1</v>
      </c>
    </row>
    <row r="482" spans="1:12" ht="15" thickBot="1">
      <c r="A482" s="31">
        <v>5518699</v>
      </c>
      <c r="B482" s="35">
        <v>1447</v>
      </c>
      <c r="C482" s="35" t="s">
        <v>153</v>
      </c>
      <c r="D482" s="35">
        <v>8</v>
      </c>
      <c r="E482" s="35">
        <v>6</v>
      </c>
      <c r="F482" s="36">
        <v>43618</v>
      </c>
      <c r="G482" s="9">
        <f>VLOOKUP(A482,Sheet9!$A:$F,2,FALSE)</f>
        <v>45000000</v>
      </c>
      <c r="H482" s="9" t="str">
        <f>VLOOKUP(A482,Sheet9!$A:$F,3,FALSE )</f>
        <v>DHA Defence</v>
      </c>
      <c r="I482" s="9" t="str">
        <f>VLOOKUP(A482,Sheet9!$A:$F,4,FALSE)</f>
        <v>Lahore</v>
      </c>
      <c r="J482" s="9" t="str">
        <f>VLOOKUP(A482,Sheet9!$A:$F,5,FALSE)</f>
        <v>Punjab</v>
      </c>
      <c r="K482" s="9" t="str">
        <f>VLOOKUP(A482,Sheet9!$A:$F,6,FALSE)</f>
        <v>For Sale</v>
      </c>
      <c r="L482" s="9">
        <f t="shared" si="7"/>
        <v>2</v>
      </c>
    </row>
    <row r="483" spans="1:12" ht="15" thickBot="1">
      <c r="A483" s="31">
        <v>5519354</v>
      </c>
      <c r="B483" s="35">
        <v>9914</v>
      </c>
      <c r="C483" s="35" t="s">
        <v>154</v>
      </c>
      <c r="D483" s="35">
        <v>2</v>
      </c>
      <c r="E483" s="35">
        <v>2</v>
      </c>
      <c r="F483" s="36">
        <v>43470</v>
      </c>
      <c r="G483" s="9">
        <f>VLOOKUP(A483,Sheet9!$A:$F,2,FALSE)</f>
        <v>17000</v>
      </c>
      <c r="H483" s="9" t="str">
        <f>VLOOKUP(A483,Sheet9!$A:$F,3,FALSE )</f>
        <v>DHA Defence</v>
      </c>
      <c r="I483" s="9" t="str">
        <f>VLOOKUP(A483,Sheet9!$A:$F,4,FALSE)</f>
        <v>Islamabad</v>
      </c>
      <c r="J483" s="9" t="str">
        <f>VLOOKUP(A483,Sheet9!$A:$F,5,FALSE)</f>
        <v>Islamabad Capital</v>
      </c>
      <c r="K483" s="9" t="str">
        <f>VLOOKUP(A483,Sheet9!$A:$F,6,FALSE)</f>
        <v>For Rent</v>
      </c>
      <c r="L483" s="9">
        <f t="shared" si="7"/>
        <v>3</v>
      </c>
    </row>
    <row r="484" spans="1:12" ht="15" thickBot="1">
      <c r="A484" s="31">
        <v>5527291</v>
      </c>
      <c r="B484" s="35">
        <v>1482</v>
      </c>
      <c r="C484" s="35" t="s">
        <v>154</v>
      </c>
      <c r="D484" s="35">
        <v>3</v>
      </c>
      <c r="E484" s="35">
        <v>3</v>
      </c>
      <c r="F484" s="36">
        <v>43591</v>
      </c>
      <c r="G484" s="9">
        <f>VLOOKUP(A484,Sheet9!$A:$F,2,FALSE)</f>
        <v>22000000</v>
      </c>
      <c r="H484" s="9" t="str">
        <f>VLOOKUP(A484,Sheet9!$A:$F,3,FALSE )</f>
        <v>DHA Defence</v>
      </c>
      <c r="I484" s="9" t="str">
        <f>VLOOKUP(A484,Sheet9!$A:$F,4,FALSE)</f>
        <v>Karachi</v>
      </c>
      <c r="J484" s="9" t="str">
        <f>VLOOKUP(A484,Sheet9!$A:$F,5,FALSE)</f>
        <v>Sindh</v>
      </c>
      <c r="K484" s="9" t="str">
        <f>VLOOKUP(A484,Sheet9!$A:$F,6,FALSE)</f>
        <v>For Sale</v>
      </c>
      <c r="L484" s="9">
        <f t="shared" si="7"/>
        <v>1</v>
      </c>
    </row>
    <row r="485" spans="1:12" ht="15" thickBot="1">
      <c r="A485" s="31">
        <v>5528861</v>
      </c>
      <c r="B485" s="35">
        <v>253</v>
      </c>
      <c r="C485" s="35" t="s">
        <v>154</v>
      </c>
      <c r="D485" s="35">
        <v>0</v>
      </c>
      <c r="E485" s="35">
        <v>4</v>
      </c>
      <c r="F485" s="36">
        <v>43591</v>
      </c>
      <c r="G485" s="9">
        <f>VLOOKUP(A485,Sheet9!$A:$F,2,FALSE)</f>
        <v>32000000</v>
      </c>
      <c r="H485" s="9" t="str">
        <f>VLOOKUP(A485,Sheet9!$A:$F,3,FALSE )</f>
        <v>Khalid Bin Walid Road</v>
      </c>
      <c r="I485" s="9" t="str">
        <f>VLOOKUP(A485,Sheet9!$A:$F,4,FALSE)</f>
        <v>Karachi</v>
      </c>
      <c r="J485" s="9" t="str">
        <f>VLOOKUP(A485,Sheet9!$A:$F,5,FALSE)</f>
        <v>Sindh</v>
      </c>
      <c r="K485" s="9" t="str">
        <f>VLOOKUP(A485,Sheet9!$A:$F,6,FALSE)</f>
        <v>For Sale</v>
      </c>
      <c r="L485" s="9">
        <f t="shared" si="7"/>
        <v>1</v>
      </c>
    </row>
    <row r="486" spans="1:12" ht="15" thickBot="1">
      <c r="A486" s="31">
        <v>5528867</v>
      </c>
      <c r="B486" s="35">
        <v>413</v>
      </c>
      <c r="C486" s="35" t="s">
        <v>153</v>
      </c>
      <c r="D486" s="35">
        <v>4</v>
      </c>
      <c r="E486" s="35">
        <v>4</v>
      </c>
      <c r="F486" s="36">
        <v>43591</v>
      </c>
      <c r="G486" s="9">
        <f>VLOOKUP(A486,Sheet9!$A:$F,2,FALSE)</f>
        <v>70000000</v>
      </c>
      <c r="H486" s="9" t="str">
        <f>VLOOKUP(A486,Sheet9!$A:$F,3,FALSE )</f>
        <v>Shaheed Millat Road</v>
      </c>
      <c r="I486" s="9" t="str">
        <f>VLOOKUP(A486,Sheet9!$A:$F,4,FALSE)</f>
        <v>Karachi</v>
      </c>
      <c r="J486" s="9" t="str">
        <f>VLOOKUP(A486,Sheet9!$A:$F,5,FALSE)</f>
        <v>Sindh</v>
      </c>
      <c r="K486" s="9" t="str">
        <f>VLOOKUP(A486,Sheet9!$A:$F,6,FALSE)</f>
        <v>For Sale</v>
      </c>
      <c r="L486" s="9">
        <f t="shared" si="7"/>
        <v>1</v>
      </c>
    </row>
    <row r="487" spans="1:12" ht="15" thickBot="1">
      <c r="A487" s="31">
        <v>5529149</v>
      </c>
      <c r="B487" s="35">
        <v>6889</v>
      </c>
      <c r="C487" s="35" t="s">
        <v>154</v>
      </c>
      <c r="D487" s="35">
        <v>3</v>
      </c>
      <c r="E487" s="35">
        <v>3</v>
      </c>
      <c r="F487" s="36">
        <v>43650</v>
      </c>
      <c r="G487" s="9">
        <f>VLOOKUP(A487,Sheet9!$A:$F,2,FALSE)</f>
        <v>8500000</v>
      </c>
      <c r="H487" s="9" t="str">
        <f>VLOOKUP(A487,Sheet9!$A:$F,3,FALSE )</f>
        <v>Scheme 33</v>
      </c>
      <c r="I487" s="9" t="str">
        <f>VLOOKUP(A487,Sheet9!$A:$F,4,FALSE)</f>
        <v>Karachi</v>
      </c>
      <c r="J487" s="9" t="str">
        <f>VLOOKUP(A487,Sheet9!$A:$F,5,FALSE)</f>
        <v>Sindh</v>
      </c>
      <c r="K487" s="9" t="str">
        <f>VLOOKUP(A487,Sheet9!$A:$F,6,FALSE)</f>
        <v>For Sale</v>
      </c>
      <c r="L487" s="9">
        <f t="shared" si="7"/>
        <v>1</v>
      </c>
    </row>
    <row r="488" spans="1:12" ht="15" thickBot="1">
      <c r="A488" s="31">
        <v>5553948</v>
      </c>
      <c r="B488" s="35">
        <v>1796</v>
      </c>
      <c r="C488" s="35" t="s">
        <v>154</v>
      </c>
      <c r="D488" s="35">
        <v>1</v>
      </c>
      <c r="E488" s="35">
        <v>1</v>
      </c>
      <c r="F488" s="36">
        <v>43558</v>
      </c>
      <c r="G488" s="9">
        <f>VLOOKUP(A488,Sheet9!$A:$F,2,FALSE)</f>
        <v>5100000</v>
      </c>
      <c r="H488" s="9" t="str">
        <f>VLOOKUP(A488,Sheet9!$A:$F,3,FALSE )</f>
        <v>Bahria Town</v>
      </c>
      <c r="I488" s="9" t="str">
        <f>VLOOKUP(A488,Sheet9!$A:$F,4,FALSE)</f>
        <v>Lahore</v>
      </c>
      <c r="J488" s="9" t="str">
        <f>VLOOKUP(A488,Sheet9!$A:$F,5,FALSE)</f>
        <v>Punjab</v>
      </c>
      <c r="K488" s="9" t="str">
        <f>VLOOKUP(A488,Sheet9!$A:$F,6,FALSE)</f>
        <v>For Sale</v>
      </c>
      <c r="L488" s="9">
        <f t="shared" si="7"/>
        <v>2</v>
      </c>
    </row>
    <row r="489" spans="1:12" ht="15" thickBot="1">
      <c r="A489" s="31">
        <v>5571808</v>
      </c>
      <c r="B489" s="35">
        <v>331</v>
      </c>
      <c r="C489" s="35" t="s">
        <v>153</v>
      </c>
      <c r="D489" s="35">
        <v>6</v>
      </c>
      <c r="E489" s="35">
        <v>5</v>
      </c>
      <c r="F489" s="36">
        <v>43320</v>
      </c>
      <c r="G489" s="9">
        <f>VLOOKUP(A489,Sheet9!$A:$F,2,FALSE)</f>
        <v>55000</v>
      </c>
      <c r="H489" s="9" t="str">
        <f>VLOOKUP(A489,Sheet9!$A:$F,3,FALSE )</f>
        <v>National Police Foundation O-9</v>
      </c>
      <c r="I489" s="9" t="str">
        <f>VLOOKUP(A489,Sheet9!$A:$F,4,FALSE)</f>
        <v>Islamabad</v>
      </c>
      <c r="J489" s="9" t="str">
        <f>VLOOKUP(A489,Sheet9!$A:$F,5,FALSE)</f>
        <v>Islamabad Capital</v>
      </c>
      <c r="K489" s="9" t="str">
        <f>VLOOKUP(A489,Sheet9!$A:$F,6,FALSE)</f>
        <v>For Rent</v>
      </c>
      <c r="L489" s="9">
        <f t="shared" si="7"/>
        <v>3</v>
      </c>
    </row>
    <row r="490" spans="1:12" ht="15" thickBot="1">
      <c r="A490" s="31">
        <v>5578552</v>
      </c>
      <c r="B490" s="35">
        <v>304</v>
      </c>
      <c r="C490" s="35" t="s">
        <v>154</v>
      </c>
      <c r="D490" s="35">
        <v>4</v>
      </c>
      <c r="E490" s="35">
        <v>4</v>
      </c>
      <c r="F490" s="36">
        <v>43591</v>
      </c>
      <c r="G490" s="9">
        <f>VLOOKUP(A490,Sheet9!$A:$F,2,FALSE)</f>
        <v>14000000</v>
      </c>
      <c r="H490" s="9" t="str">
        <f>VLOOKUP(A490,Sheet9!$A:$F,3,FALSE )</f>
        <v>Saddar Town</v>
      </c>
      <c r="I490" s="9" t="str">
        <f>VLOOKUP(A490,Sheet9!$A:$F,4,FALSE)</f>
        <v>Karachi</v>
      </c>
      <c r="J490" s="9" t="str">
        <f>VLOOKUP(A490,Sheet9!$A:$F,5,FALSE)</f>
        <v>Sindh</v>
      </c>
      <c r="K490" s="9" t="str">
        <f>VLOOKUP(A490,Sheet9!$A:$F,6,FALSE)</f>
        <v>For Sale</v>
      </c>
      <c r="L490" s="9">
        <f t="shared" si="7"/>
        <v>1</v>
      </c>
    </row>
    <row r="491" spans="1:12" ht="15" thickBot="1">
      <c r="A491" s="31">
        <v>5598037</v>
      </c>
      <c r="B491" s="35">
        <v>476</v>
      </c>
      <c r="C491" s="35" t="s">
        <v>153</v>
      </c>
      <c r="D491" s="35">
        <v>5</v>
      </c>
      <c r="E491" s="35">
        <v>4</v>
      </c>
      <c r="F491" s="36">
        <v>43643</v>
      </c>
      <c r="G491" s="9">
        <f>VLOOKUP(A491,Sheet9!$A:$F,2,FALSE)</f>
        <v>49500000</v>
      </c>
      <c r="H491" s="9" t="str">
        <f>VLOOKUP(A491,Sheet9!$A:$F,3,FALSE )</f>
        <v>Malir</v>
      </c>
      <c r="I491" s="9" t="str">
        <f>VLOOKUP(A491,Sheet9!$A:$F,4,FALSE)</f>
        <v>Karachi</v>
      </c>
      <c r="J491" s="9" t="str">
        <f>VLOOKUP(A491,Sheet9!$A:$F,5,FALSE)</f>
        <v>Sindh</v>
      </c>
      <c r="K491" s="9" t="str">
        <f>VLOOKUP(A491,Sheet9!$A:$F,6,FALSE)</f>
        <v>For Sale</v>
      </c>
      <c r="L491" s="9">
        <f t="shared" si="7"/>
        <v>1</v>
      </c>
    </row>
    <row r="492" spans="1:12" ht="15" thickBot="1">
      <c r="A492" s="31">
        <v>5614095</v>
      </c>
      <c r="B492" s="35">
        <v>1782</v>
      </c>
      <c r="C492" s="35" t="s">
        <v>153</v>
      </c>
      <c r="D492" s="35">
        <v>3</v>
      </c>
      <c r="E492" s="35">
        <v>3</v>
      </c>
      <c r="F492" s="36">
        <v>43559</v>
      </c>
      <c r="G492" s="9">
        <f>VLOOKUP(A492,Sheet9!$A:$F,2,FALSE)</f>
        <v>12500000</v>
      </c>
      <c r="H492" s="9" t="str">
        <f>VLOOKUP(A492,Sheet9!$A:$F,3,FALSE )</f>
        <v>Bahria Town</v>
      </c>
      <c r="I492" s="9" t="str">
        <f>VLOOKUP(A492,Sheet9!$A:$F,4,FALSE)</f>
        <v>Lahore</v>
      </c>
      <c r="J492" s="9" t="str">
        <f>VLOOKUP(A492,Sheet9!$A:$F,5,FALSE)</f>
        <v>Punjab</v>
      </c>
      <c r="K492" s="9" t="str">
        <f>VLOOKUP(A492,Sheet9!$A:$F,6,FALSE)</f>
        <v>For Sale</v>
      </c>
      <c r="L492" s="9">
        <f t="shared" si="7"/>
        <v>2</v>
      </c>
    </row>
    <row r="493" spans="1:12" ht="15" thickBot="1">
      <c r="A493" s="31">
        <v>5614355</v>
      </c>
      <c r="B493" s="35">
        <v>3643</v>
      </c>
      <c r="C493" s="35" t="s">
        <v>153</v>
      </c>
      <c r="D493" s="35">
        <v>3</v>
      </c>
      <c r="E493" s="35">
        <v>2</v>
      </c>
      <c r="F493" s="36">
        <v>43647</v>
      </c>
      <c r="G493" s="9">
        <f>VLOOKUP(A493,Sheet9!$A:$F,2,FALSE)</f>
        <v>12500000</v>
      </c>
      <c r="H493" s="9" t="str">
        <f>VLOOKUP(A493,Sheet9!$A:$F,3,FALSE )</f>
        <v>Canal Garden</v>
      </c>
      <c r="I493" s="9" t="str">
        <f>VLOOKUP(A493,Sheet9!$A:$F,4,FALSE)</f>
        <v>Lahore</v>
      </c>
      <c r="J493" s="9" t="str">
        <f>VLOOKUP(A493,Sheet9!$A:$F,5,FALSE)</f>
        <v>Punjab</v>
      </c>
      <c r="K493" s="9" t="str">
        <f>VLOOKUP(A493,Sheet9!$A:$F,6,FALSE)</f>
        <v>For Sale</v>
      </c>
      <c r="L493" s="9">
        <f t="shared" si="7"/>
        <v>2</v>
      </c>
    </row>
    <row r="494" spans="1:12" ht="15" thickBot="1">
      <c r="A494" s="31">
        <v>5619391</v>
      </c>
      <c r="B494" s="35">
        <v>8900</v>
      </c>
      <c r="C494" s="35" t="s">
        <v>153</v>
      </c>
      <c r="D494" s="35">
        <v>5</v>
      </c>
      <c r="E494" s="35">
        <v>5</v>
      </c>
      <c r="F494" s="36">
        <v>43559</v>
      </c>
      <c r="G494" s="9">
        <f>VLOOKUP(A494,Sheet9!$A:$F,2,FALSE)</f>
        <v>30000000</v>
      </c>
      <c r="H494" s="9" t="str">
        <f>VLOOKUP(A494,Sheet9!$A:$F,3,FALSE )</f>
        <v>Muslim Nagar Housing Scheme</v>
      </c>
      <c r="I494" s="9" t="str">
        <f>VLOOKUP(A494,Sheet9!$A:$F,4,FALSE)</f>
        <v>Lahore</v>
      </c>
      <c r="J494" s="9" t="str">
        <f>VLOOKUP(A494,Sheet9!$A:$F,5,FALSE)</f>
        <v>Punjab</v>
      </c>
      <c r="K494" s="9" t="str">
        <f>VLOOKUP(A494,Sheet9!$A:$F,6,FALSE)</f>
        <v>For Sale</v>
      </c>
      <c r="L494" s="9">
        <f t="shared" si="7"/>
        <v>2</v>
      </c>
    </row>
    <row r="495" spans="1:12" ht="15" thickBot="1">
      <c r="A495" s="31">
        <v>5636675</v>
      </c>
      <c r="B495" s="35">
        <v>93</v>
      </c>
      <c r="C495" s="35" t="s">
        <v>153</v>
      </c>
      <c r="D495" s="35">
        <v>0</v>
      </c>
      <c r="E495" s="35">
        <v>0</v>
      </c>
      <c r="F495" s="36">
        <v>43588</v>
      </c>
      <c r="G495" s="9">
        <f>VLOOKUP(A495,Sheet9!$A:$F,2,FALSE)</f>
        <v>90000000</v>
      </c>
      <c r="H495" s="9" t="str">
        <f>VLOOKUP(A495,Sheet9!$A:$F,3,FALSE )</f>
        <v>Johar Town</v>
      </c>
      <c r="I495" s="9" t="str">
        <f>VLOOKUP(A495,Sheet9!$A:$F,4,FALSE)</f>
        <v>Lahore</v>
      </c>
      <c r="J495" s="9" t="str">
        <f>VLOOKUP(A495,Sheet9!$A:$F,5,FALSE)</f>
        <v>Punjab</v>
      </c>
      <c r="K495" s="9" t="str">
        <f>VLOOKUP(A495,Sheet9!$A:$F,6,FALSE)</f>
        <v>For Sale</v>
      </c>
      <c r="L495" s="9">
        <f t="shared" si="7"/>
        <v>2</v>
      </c>
    </row>
    <row r="496" spans="1:12" ht="15" thickBot="1">
      <c r="A496" s="31">
        <v>5640209</v>
      </c>
      <c r="B496" s="35">
        <v>3026</v>
      </c>
      <c r="C496" s="35" t="s">
        <v>153</v>
      </c>
      <c r="D496" s="35">
        <v>5</v>
      </c>
      <c r="E496" s="35">
        <v>3</v>
      </c>
      <c r="F496" s="36">
        <v>43559</v>
      </c>
      <c r="G496" s="9">
        <f>VLOOKUP(A496,Sheet9!$A:$F,2,FALSE)</f>
        <v>15500000</v>
      </c>
      <c r="H496" s="9" t="str">
        <f>VLOOKUP(A496,Sheet9!$A:$F,3,FALSE )</f>
        <v>Tricon Village</v>
      </c>
      <c r="I496" s="9" t="str">
        <f>VLOOKUP(A496,Sheet9!$A:$F,4,FALSE)</f>
        <v>Lahore</v>
      </c>
      <c r="J496" s="9" t="str">
        <f>VLOOKUP(A496,Sheet9!$A:$F,5,FALSE)</f>
        <v>Punjab</v>
      </c>
      <c r="K496" s="9" t="str">
        <f>VLOOKUP(A496,Sheet9!$A:$F,6,FALSE)</f>
        <v>For Sale</v>
      </c>
      <c r="L496" s="9">
        <f t="shared" si="7"/>
        <v>2</v>
      </c>
    </row>
    <row r="497" spans="1:12" ht="15" thickBot="1">
      <c r="A497" s="31">
        <v>5645625</v>
      </c>
      <c r="B497" s="35">
        <v>1784</v>
      </c>
      <c r="C497" s="35" t="s">
        <v>153</v>
      </c>
      <c r="D497" s="35">
        <v>6</v>
      </c>
      <c r="E497" s="35">
        <v>5</v>
      </c>
      <c r="F497" s="36">
        <v>43634</v>
      </c>
      <c r="G497" s="9">
        <f>VLOOKUP(A497,Sheet9!$A:$F,2,FALSE)</f>
        <v>17600000</v>
      </c>
      <c r="H497" s="9" t="str">
        <f>VLOOKUP(A497,Sheet9!$A:$F,3,FALSE )</f>
        <v>Bahria Town</v>
      </c>
      <c r="I497" s="9" t="str">
        <f>VLOOKUP(A497,Sheet9!$A:$F,4,FALSE)</f>
        <v>Lahore</v>
      </c>
      <c r="J497" s="9" t="str">
        <f>VLOOKUP(A497,Sheet9!$A:$F,5,FALSE)</f>
        <v>Punjab</v>
      </c>
      <c r="K497" s="9" t="str">
        <f>VLOOKUP(A497,Sheet9!$A:$F,6,FALSE)</f>
        <v>For Sale</v>
      </c>
      <c r="L497" s="9">
        <f t="shared" si="7"/>
        <v>2</v>
      </c>
    </row>
    <row r="498" spans="1:12" ht="15" thickBot="1">
      <c r="A498" s="31">
        <v>5646406</v>
      </c>
      <c r="B498" s="35">
        <v>9049</v>
      </c>
      <c r="C498" s="35" t="s">
        <v>154</v>
      </c>
      <c r="D498" s="35">
        <v>2</v>
      </c>
      <c r="E498" s="35">
        <v>4</v>
      </c>
      <c r="F498" s="36">
        <v>43483</v>
      </c>
      <c r="G498" s="9">
        <f>VLOOKUP(A498,Sheet9!$A:$F,2,FALSE)</f>
        <v>4100000</v>
      </c>
      <c r="H498" s="9" t="str">
        <f>VLOOKUP(A498,Sheet9!$A:$F,3,FALSE )</f>
        <v>North Karachi</v>
      </c>
      <c r="I498" s="9" t="str">
        <f>VLOOKUP(A498,Sheet9!$A:$F,4,FALSE)</f>
        <v>Karachi</v>
      </c>
      <c r="J498" s="9" t="str">
        <f>VLOOKUP(A498,Sheet9!$A:$F,5,FALSE)</f>
        <v>Sindh</v>
      </c>
      <c r="K498" s="9" t="str">
        <f>VLOOKUP(A498,Sheet9!$A:$F,6,FALSE)</f>
        <v>For Sale</v>
      </c>
      <c r="L498" s="9">
        <f t="shared" si="7"/>
        <v>1</v>
      </c>
    </row>
    <row r="499" spans="1:12" ht="15" thickBot="1">
      <c r="A499" s="31">
        <v>5663594</v>
      </c>
      <c r="B499" s="35">
        <v>3241</v>
      </c>
      <c r="C499" s="35" t="s">
        <v>154</v>
      </c>
      <c r="D499" s="35">
        <v>3</v>
      </c>
      <c r="E499" s="35">
        <v>3</v>
      </c>
      <c r="F499" s="36">
        <v>43643</v>
      </c>
      <c r="G499" s="9">
        <f>VLOOKUP(A499,Sheet9!$A:$F,2,FALSE)</f>
        <v>9900000</v>
      </c>
      <c r="H499" s="9" t="str">
        <f>VLOOKUP(A499,Sheet9!$A:$F,3,FALSE )</f>
        <v>E-11</v>
      </c>
      <c r="I499" s="9" t="str">
        <f>VLOOKUP(A499,Sheet9!$A:$F,4,FALSE)</f>
        <v>Islamabad</v>
      </c>
      <c r="J499" s="9" t="str">
        <f>VLOOKUP(A499,Sheet9!$A:$F,5,FALSE)</f>
        <v>Islamabad Capital</v>
      </c>
      <c r="K499" s="9" t="str">
        <f>VLOOKUP(A499,Sheet9!$A:$F,6,FALSE)</f>
        <v>For Sale</v>
      </c>
      <c r="L499" s="9">
        <f t="shared" si="7"/>
        <v>3</v>
      </c>
    </row>
    <row r="500" spans="1:12" ht="15" thickBot="1">
      <c r="A500" s="31">
        <v>5665336</v>
      </c>
      <c r="B500" s="35">
        <v>427</v>
      </c>
      <c r="C500" s="35" t="s">
        <v>153</v>
      </c>
      <c r="D500" s="35">
        <v>5</v>
      </c>
      <c r="E500" s="35">
        <v>4</v>
      </c>
      <c r="F500" s="36">
        <v>43634</v>
      </c>
      <c r="G500" s="9">
        <f>VLOOKUP(A500,Sheet9!$A:$F,2,FALSE)</f>
        <v>65000000</v>
      </c>
      <c r="H500" s="9" t="str">
        <f>VLOOKUP(A500,Sheet9!$A:$F,3,FALSE )</f>
        <v>Cantt</v>
      </c>
      <c r="I500" s="9" t="str">
        <f>VLOOKUP(A500,Sheet9!$A:$F,4,FALSE)</f>
        <v>Lahore</v>
      </c>
      <c r="J500" s="9" t="str">
        <f>VLOOKUP(A500,Sheet9!$A:$F,5,FALSE)</f>
        <v>Punjab</v>
      </c>
      <c r="K500" s="9" t="str">
        <f>VLOOKUP(A500,Sheet9!$A:$F,6,FALSE)</f>
        <v>For Sale</v>
      </c>
      <c r="L500" s="9">
        <f t="shared" si="7"/>
        <v>2</v>
      </c>
    </row>
    <row r="501" spans="1:12" ht="15" thickBot="1">
      <c r="A501" s="31">
        <v>5665658</v>
      </c>
      <c r="B501" s="35">
        <v>69</v>
      </c>
      <c r="C501" s="35" t="s">
        <v>153</v>
      </c>
      <c r="D501" s="35">
        <v>6</v>
      </c>
      <c r="E501" s="35">
        <v>5</v>
      </c>
      <c r="F501" s="36">
        <v>43634</v>
      </c>
      <c r="G501" s="9">
        <f>VLOOKUP(A501,Sheet9!$A:$F,2,FALSE)</f>
        <v>80000000</v>
      </c>
      <c r="H501" s="9" t="str">
        <f>VLOOKUP(A501,Sheet9!$A:$F,3,FALSE )</f>
        <v>Cavalry Ground</v>
      </c>
      <c r="I501" s="9" t="str">
        <f>VLOOKUP(A501,Sheet9!$A:$F,4,FALSE)</f>
        <v>Lahore</v>
      </c>
      <c r="J501" s="9" t="str">
        <f>VLOOKUP(A501,Sheet9!$A:$F,5,FALSE)</f>
        <v>Punjab</v>
      </c>
      <c r="K501" s="9" t="str">
        <f>VLOOKUP(A501,Sheet9!$A:$F,6,FALSE)</f>
        <v>For Sale</v>
      </c>
      <c r="L501" s="9">
        <f t="shared" si="7"/>
        <v>2</v>
      </c>
    </row>
    <row r="502" spans="1:12" ht="15" thickBot="1">
      <c r="A502" s="31">
        <v>5665897</v>
      </c>
      <c r="B502" s="35">
        <v>4457</v>
      </c>
      <c r="C502" s="35" t="s">
        <v>153</v>
      </c>
      <c r="D502" s="35">
        <v>6</v>
      </c>
      <c r="E502" s="35">
        <v>5</v>
      </c>
      <c r="F502" s="36">
        <v>43634</v>
      </c>
      <c r="G502" s="9">
        <f>VLOOKUP(A502,Sheet9!$A:$F,2,FALSE)</f>
        <v>13700000</v>
      </c>
      <c r="H502" s="9" t="str">
        <f>VLOOKUP(A502,Sheet9!$A:$F,3,FALSE )</f>
        <v>Al Faisal Town</v>
      </c>
      <c r="I502" s="9" t="str">
        <f>VLOOKUP(A502,Sheet9!$A:$F,4,FALSE)</f>
        <v>Lahore</v>
      </c>
      <c r="J502" s="9" t="str">
        <f>VLOOKUP(A502,Sheet9!$A:$F,5,FALSE)</f>
        <v>Punjab</v>
      </c>
      <c r="K502" s="9" t="str">
        <f>VLOOKUP(A502,Sheet9!$A:$F,6,FALSE)</f>
        <v>For Sale</v>
      </c>
      <c r="L502" s="9">
        <f t="shared" si="7"/>
        <v>2</v>
      </c>
    </row>
    <row r="503" spans="1:12" ht="15" thickBot="1">
      <c r="A503" s="31">
        <v>5687571</v>
      </c>
      <c r="B503" s="35">
        <v>3102</v>
      </c>
      <c r="C503" s="35" t="s">
        <v>153</v>
      </c>
      <c r="D503" s="35">
        <v>5</v>
      </c>
      <c r="E503" s="35">
        <v>5</v>
      </c>
      <c r="F503" s="36">
        <v>43641</v>
      </c>
      <c r="G503" s="9">
        <f>VLOOKUP(A503,Sheet9!$A:$F,2,FALSE)</f>
        <v>52500000</v>
      </c>
      <c r="H503" s="9" t="str">
        <f>VLOOKUP(A503,Sheet9!$A:$F,3,FALSE )</f>
        <v>Gulberg</v>
      </c>
      <c r="I503" s="9" t="str">
        <f>VLOOKUP(A503,Sheet9!$A:$F,4,FALSE)</f>
        <v>Lahore</v>
      </c>
      <c r="J503" s="9" t="str">
        <f>VLOOKUP(A503,Sheet9!$A:$F,5,FALSE)</f>
        <v>Punjab</v>
      </c>
      <c r="K503" s="9" t="str">
        <f>VLOOKUP(A503,Sheet9!$A:$F,6,FALSE)</f>
        <v>For Sale</v>
      </c>
      <c r="L503" s="9">
        <f t="shared" si="7"/>
        <v>2</v>
      </c>
    </row>
    <row r="504" spans="1:12" ht="15" thickBot="1">
      <c r="A504" s="31">
        <v>5688787</v>
      </c>
      <c r="B504" s="35">
        <v>3036</v>
      </c>
      <c r="C504" s="35" t="s">
        <v>153</v>
      </c>
      <c r="D504" s="35">
        <v>5</v>
      </c>
      <c r="E504" s="35">
        <v>5</v>
      </c>
      <c r="F504" s="36">
        <v>43654</v>
      </c>
      <c r="G504" s="9">
        <f>VLOOKUP(A504,Sheet9!$A:$F,2,FALSE)</f>
        <v>115000</v>
      </c>
      <c r="H504" s="9" t="str">
        <f>VLOOKUP(A504,Sheet9!$A:$F,3,FALSE )</f>
        <v>Bahria Town Rawalpindi</v>
      </c>
      <c r="I504" s="9" t="str">
        <f>VLOOKUP(A504,Sheet9!$A:$F,4,FALSE)</f>
        <v>Rawalpindi</v>
      </c>
      <c r="J504" s="9" t="str">
        <f>VLOOKUP(A504,Sheet9!$A:$F,5,FALSE)</f>
        <v>Punjab</v>
      </c>
      <c r="K504" s="9" t="str">
        <f>VLOOKUP(A504,Sheet9!$A:$F,6,FALSE)</f>
        <v>For Rent</v>
      </c>
      <c r="L504" s="9">
        <f t="shared" si="7"/>
        <v>2</v>
      </c>
    </row>
    <row r="505" spans="1:12" ht="15" thickBot="1">
      <c r="A505" s="31">
        <v>5719902</v>
      </c>
      <c r="B505" s="35">
        <v>10623</v>
      </c>
      <c r="C505" s="35" t="s">
        <v>154</v>
      </c>
      <c r="D505" s="35">
        <v>2</v>
      </c>
      <c r="E505" s="35">
        <v>2</v>
      </c>
      <c r="F505" s="36">
        <v>43543</v>
      </c>
      <c r="G505" s="9">
        <f>VLOOKUP(A505,Sheet9!$A:$F,2,FALSE)</f>
        <v>3400000</v>
      </c>
      <c r="H505" s="9" t="str">
        <f>VLOOKUP(A505,Sheet9!$A:$F,3,FALSE )</f>
        <v>Anda Mor Road</v>
      </c>
      <c r="I505" s="9" t="str">
        <f>VLOOKUP(A505,Sheet9!$A:$F,4,FALSE)</f>
        <v>Karachi</v>
      </c>
      <c r="J505" s="9" t="str">
        <f>VLOOKUP(A505,Sheet9!$A:$F,5,FALSE)</f>
        <v>Sindh</v>
      </c>
      <c r="K505" s="9" t="str">
        <f>VLOOKUP(A505,Sheet9!$A:$F,6,FALSE)</f>
        <v>For Sale</v>
      </c>
      <c r="L505" s="9">
        <f t="shared" si="7"/>
        <v>1</v>
      </c>
    </row>
    <row r="506" spans="1:12" ht="15" thickBot="1">
      <c r="A506" s="31">
        <v>5727152</v>
      </c>
      <c r="B506" s="35">
        <v>6875</v>
      </c>
      <c r="C506" s="35" t="s">
        <v>157</v>
      </c>
      <c r="D506" s="35">
        <v>3</v>
      </c>
      <c r="E506" s="35">
        <v>3</v>
      </c>
      <c r="F506" s="36">
        <v>43648</v>
      </c>
      <c r="G506" s="9">
        <f>VLOOKUP(A506,Sheet9!$A:$F,2,FALSE)</f>
        <v>15000000</v>
      </c>
      <c r="H506" s="9" t="str">
        <f>VLOOKUP(A506,Sheet9!$A:$F,3,FALSE )</f>
        <v>Gulshan-e-Iqbal Town</v>
      </c>
      <c r="I506" s="9" t="str">
        <f>VLOOKUP(A506,Sheet9!$A:$F,4,FALSE)</f>
        <v>Karachi</v>
      </c>
      <c r="J506" s="9" t="str">
        <f>VLOOKUP(A506,Sheet9!$A:$F,5,FALSE)</f>
        <v>Sindh</v>
      </c>
      <c r="K506" s="9" t="str">
        <f>VLOOKUP(A506,Sheet9!$A:$F,6,FALSE)</f>
        <v>For Sale</v>
      </c>
      <c r="L506" s="9">
        <f t="shared" si="7"/>
        <v>1</v>
      </c>
    </row>
    <row r="507" spans="1:12" ht="15" thickBot="1">
      <c r="A507" s="31">
        <v>5727921</v>
      </c>
      <c r="B507" s="35">
        <v>4140</v>
      </c>
      <c r="C507" s="35" t="s">
        <v>153</v>
      </c>
      <c r="D507" s="35">
        <v>5</v>
      </c>
      <c r="E507" s="35">
        <v>5</v>
      </c>
      <c r="F507" s="36">
        <v>43588</v>
      </c>
      <c r="G507" s="9">
        <f>VLOOKUP(A507,Sheet9!$A:$F,2,FALSE)</f>
        <v>34000000</v>
      </c>
      <c r="H507" s="9" t="str">
        <f>VLOOKUP(A507,Sheet9!$A:$F,3,FALSE )</f>
        <v>PCSIR Housing Scheme</v>
      </c>
      <c r="I507" s="9" t="str">
        <f>VLOOKUP(A507,Sheet9!$A:$F,4,FALSE)</f>
        <v>Lahore</v>
      </c>
      <c r="J507" s="9" t="str">
        <f>VLOOKUP(A507,Sheet9!$A:$F,5,FALSE)</f>
        <v>Punjab</v>
      </c>
      <c r="K507" s="9" t="str">
        <f>VLOOKUP(A507,Sheet9!$A:$F,6,FALSE)</f>
        <v>For Sale</v>
      </c>
      <c r="L507" s="9">
        <f t="shared" si="7"/>
        <v>2</v>
      </c>
    </row>
    <row r="508" spans="1:12" ht="15" thickBot="1">
      <c r="A508" s="31">
        <v>5728159</v>
      </c>
      <c r="B508" s="35">
        <v>1552</v>
      </c>
      <c r="C508" s="35" t="s">
        <v>153</v>
      </c>
      <c r="D508" s="35">
        <v>0</v>
      </c>
      <c r="E508" s="35">
        <v>0</v>
      </c>
      <c r="F508" s="36">
        <v>43588</v>
      </c>
      <c r="G508" s="9">
        <f>VLOOKUP(A508,Sheet9!$A:$F,2,FALSE)</f>
        <v>75000000</v>
      </c>
      <c r="H508" s="9" t="str">
        <f>VLOOKUP(A508,Sheet9!$A:$F,3,FALSE )</f>
        <v>Model Town</v>
      </c>
      <c r="I508" s="9" t="str">
        <f>VLOOKUP(A508,Sheet9!$A:$F,4,FALSE)</f>
        <v>Lahore</v>
      </c>
      <c r="J508" s="9" t="str">
        <f>VLOOKUP(A508,Sheet9!$A:$F,5,FALSE)</f>
        <v>Punjab</v>
      </c>
      <c r="K508" s="9" t="str">
        <f>VLOOKUP(A508,Sheet9!$A:$F,6,FALSE)</f>
        <v>For Sale</v>
      </c>
      <c r="L508" s="9">
        <f t="shared" si="7"/>
        <v>2</v>
      </c>
    </row>
    <row r="509" spans="1:12" ht="15" thickBot="1">
      <c r="A509" s="31">
        <v>5728211</v>
      </c>
      <c r="B509" s="35">
        <v>410</v>
      </c>
      <c r="C509" s="35" t="s">
        <v>153</v>
      </c>
      <c r="D509" s="35">
        <v>0</v>
      </c>
      <c r="E509" s="35">
        <v>0</v>
      </c>
      <c r="F509" s="36">
        <v>43439</v>
      </c>
      <c r="G509" s="9">
        <f>VLOOKUP(A509,Sheet9!$A:$F,2,FALSE)</f>
        <v>37500000</v>
      </c>
      <c r="H509" s="9" t="str">
        <f>VLOOKUP(A509,Sheet9!$A:$F,3,FALSE )</f>
        <v>EME Society</v>
      </c>
      <c r="I509" s="9" t="str">
        <f>VLOOKUP(A509,Sheet9!$A:$F,4,FALSE)</f>
        <v>Lahore</v>
      </c>
      <c r="J509" s="9" t="str">
        <f>VLOOKUP(A509,Sheet9!$A:$F,5,FALSE)</f>
        <v>Punjab</v>
      </c>
      <c r="K509" s="9" t="str">
        <f>VLOOKUP(A509,Sheet9!$A:$F,6,FALSE)</f>
        <v>For Sale</v>
      </c>
      <c r="L509" s="9">
        <f t="shared" si="7"/>
        <v>2</v>
      </c>
    </row>
    <row r="510" spans="1:12" ht="15" thickBot="1">
      <c r="A510" s="31">
        <v>5740522</v>
      </c>
      <c r="B510" s="35">
        <v>1444</v>
      </c>
      <c r="C510" s="35" t="s">
        <v>153</v>
      </c>
      <c r="D510" s="35">
        <v>8</v>
      </c>
      <c r="E510" s="35">
        <v>7</v>
      </c>
      <c r="F510" s="36">
        <v>43499</v>
      </c>
      <c r="G510" s="9">
        <f>VLOOKUP(A510,Sheet9!$A:$F,2,FALSE)</f>
        <v>102500000</v>
      </c>
      <c r="H510" s="9" t="str">
        <f>VLOOKUP(A510,Sheet9!$A:$F,3,FALSE )</f>
        <v>DHA Defence</v>
      </c>
      <c r="I510" s="9" t="str">
        <f>VLOOKUP(A510,Sheet9!$A:$F,4,FALSE)</f>
        <v>Lahore</v>
      </c>
      <c r="J510" s="9" t="str">
        <f>VLOOKUP(A510,Sheet9!$A:$F,5,FALSE)</f>
        <v>Punjab</v>
      </c>
      <c r="K510" s="9" t="str">
        <f>VLOOKUP(A510,Sheet9!$A:$F,6,FALSE)</f>
        <v>For Sale</v>
      </c>
      <c r="L510" s="9">
        <f t="shared" si="7"/>
        <v>2</v>
      </c>
    </row>
    <row r="511" spans="1:12" ht="15" thickBot="1">
      <c r="A511" s="31">
        <v>5753242</v>
      </c>
      <c r="B511" s="35">
        <v>8226</v>
      </c>
      <c r="C511" s="35" t="s">
        <v>153</v>
      </c>
      <c r="D511" s="35">
        <v>0</v>
      </c>
      <c r="E511" s="35">
        <v>0</v>
      </c>
      <c r="F511" s="36">
        <v>43647</v>
      </c>
      <c r="G511" s="9">
        <f>VLOOKUP(A511,Sheet9!$A:$F,2,FALSE)</f>
        <v>60000</v>
      </c>
      <c r="H511" s="9" t="str">
        <f>VLOOKUP(A511,Sheet9!$A:$F,3,FALSE )</f>
        <v>DHA Defence</v>
      </c>
      <c r="I511" s="9" t="str">
        <f>VLOOKUP(A511,Sheet9!$A:$F,4,FALSE)</f>
        <v>Islamabad</v>
      </c>
      <c r="J511" s="9" t="str">
        <f>VLOOKUP(A511,Sheet9!$A:$F,5,FALSE)</f>
        <v>Islamabad Capital</v>
      </c>
      <c r="K511" s="9" t="str">
        <f>VLOOKUP(A511,Sheet9!$A:$F,6,FALSE)</f>
        <v>For Rent</v>
      </c>
      <c r="L511" s="9">
        <f t="shared" si="7"/>
        <v>3</v>
      </c>
    </row>
    <row r="512" spans="1:12" ht="29.5" thickBot="1">
      <c r="A512" s="31">
        <v>5760133</v>
      </c>
      <c r="B512" s="35">
        <v>10408</v>
      </c>
      <c r="C512" s="35" t="s">
        <v>155</v>
      </c>
      <c r="D512" s="35">
        <v>5</v>
      </c>
      <c r="E512" s="35">
        <v>5</v>
      </c>
      <c r="F512" s="36">
        <v>43647</v>
      </c>
      <c r="G512" s="9">
        <f>VLOOKUP(A512,Sheet9!$A:$F,2,FALSE)</f>
        <v>62000</v>
      </c>
      <c r="H512" s="9" t="str">
        <f>VLOOKUP(A512,Sheet9!$A:$F,3,FALSE )</f>
        <v>Korang Road</v>
      </c>
      <c r="I512" s="9" t="str">
        <f>VLOOKUP(A512,Sheet9!$A:$F,4,FALSE)</f>
        <v>Islamabad</v>
      </c>
      <c r="J512" s="9" t="str">
        <f>VLOOKUP(A512,Sheet9!$A:$F,5,FALSE)</f>
        <v>Islamabad Capital</v>
      </c>
      <c r="K512" s="9" t="str">
        <f>VLOOKUP(A512,Sheet9!$A:$F,6,FALSE)</f>
        <v>For Rent</v>
      </c>
      <c r="L512" s="9">
        <f t="shared" si="7"/>
        <v>3</v>
      </c>
    </row>
    <row r="513" spans="1:12" ht="15" thickBot="1">
      <c r="A513" s="31">
        <v>5760212</v>
      </c>
      <c r="B513" s="35">
        <v>340</v>
      </c>
      <c r="C513" s="35" t="s">
        <v>153</v>
      </c>
      <c r="D513" s="35">
        <v>1</v>
      </c>
      <c r="E513" s="35">
        <v>1</v>
      </c>
      <c r="F513" s="36">
        <v>43647</v>
      </c>
      <c r="G513" s="9">
        <f>VLOOKUP(A513,Sheet9!$A:$F,2,FALSE)</f>
        <v>20000</v>
      </c>
      <c r="H513" s="9" t="str">
        <f>VLOOKUP(A513,Sheet9!$A:$F,3,FALSE )</f>
        <v>Bani Gala</v>
      </c>
      <c r="I513" s="9" t="str">
        <f>VLOOKUP(A513,Sheet9!$A:$F,4,FALSE)</f>
        <v>Islamabad</v>
      </c>
      <c r="J513" s="9" t="str">
        <f>VLOOKUP(A513,Sheet9!$A:$F,5,FALSE)</f>
        <v>Islamabad Capital</v>
      </c>
      <c r="K513" s="9" t="str">
        <f>VLOOKUP(A513,Sheet9!$A:$F,6,FALSE)</f>
        <v>For Rent</v>
      </c>
      <c r="L513" s="9">
        <f t="shared" si="7"/>
        <v>3</v>
      </c>
    </row>
    <row r="514" spans="1:12" ht="15" thickBot="1">
      <c r="A514" s="31">
        <v>5773641</v>
      </c>
      <c r="B514" s="35">
        <v>3041</v>
      </c>
      <c r="C514" s="35" t="s">
        <v>153</v>
      </c>
      <c r="D514" s="35">
        <v>6</v>
      </c>
      <c r="E514" s="35">
        <v>5</v>
      </c>
      <c r="F514" s="36">
        <v>43649</v>
      </c>
      <c r="G514" s="9">
        <f>VLOOKUP(A514,Sheet9!$A:$F,2,FALSE)</f>
        <v>38000000</v>
      </c>
      <c r="H514" s="9" t="str">
        <f>VLOOKUP(A514,Sheet9!$A:$F,3,FALSE )</f>
        <v>Bahria Town Rawalpindi</v>
      </c>
      <c r="I514" s="9" t="str">
        <f>VLOOKUP(A514,Sheet9!$A:$F,4,FALSE)</f>
        <v>Rawalpindi</v>
      </c>
      <c r="J514" s="9" t="str">
        <f>VLOOKUP(A514,Sheet9!$A:$F,5,FALSE)</f>
        <v>Punjab</v>
      </c>
      <c r="K514" s="9" t="str">
        <f>VLOOKUP(A514,Sheet9!$A:$F,6,FALSE)</f>
        <v>For Sale</v>
      </c>
      <c r="L514" s="9">
        <f t="shared" si="7"/>
        <v>2</v>
      </c>
    </row>
    <row r="515" spans="1:12" ht="29.5" thickBot="1">
      <c r="A515" s="31">
        <v>5776968</v>
      </c>
      <c r="B515" s="35">
        <v>163</v>
      </c>
      <c r="C515" s="35" t="s">
        <v>155</v>
      </c>
      <c r="D515" s="35">
        <v>3</v>
      </c>
      <c r="E515" s="35">
        <v>3</v>
      </c>
      <c r="F515" s="36">
        <v>43590</v>
      </c>
      <c r="G515" s="9">
        <f>VLOOKUP(A515,Sheet9!$A:$F,2,FALSE)</f>
        <v>65000</v>
      </c>
      <c r="H515" s="9" t="str">
        <f>VLOOKUP(A515,Sheet9!$A:$F,3,FALSE )</f>
        <v>F-11</v>
      </c>
      <c r="I515" s="9" t="str">
        <f>VLOOKUP(A515,Sheet9!$A:$F,4,FALSE)</f>
        <v>Islamabad</v>
      </c>
      <c r="J515" s="9" t="str">
        <f>VLOOKUP(A515,Sheet9!$A:$F,5,FALSE)</f>
        <v>Islamabad Capital</v>
      </c>
      <c r="K515" s="9" t="str">
        <f>VLOOKUP(A515,Sheet9!$A:$F,6,FALSE)</f>
        <v>For Rent</v>
      </c>
      <c r="L515" s="9">
        <f t="shared" ref="L515:L578" si="8">HLOOKUP(J515,$N$1:$P$2,2,FALSE)</f>
        <v>3</v>
      </c>
    </row>
    <row r="516" spans="1:12" ht="15" thickBot="1">
      <c r="A516" s="31">
        <v>5777997</v>
      </c>
      <c r="B516" s="35">
        <v>8248</v>
      </c>
      <c r="C516" s="35" t="s">
        <v>153</v>
      </c>
      <c r="D516" s="35">
        <v>4</v>
      </c>
      <c r="E516" s="35">
        <v>3</v>
      </c>
      <c r="F516" s="36">
        <v>43588</v>
      </c>
      <c r="G516" s="9">
        <f>VLOOKUP(A516,Sheet9!$A:$F,2,FALSE)</f>
        <v>11500000</v>
      </c>
      <c r="H516" s="9" t="str">
        <f>VLOOKUP(A516,Sheet9!$A:$F,3,FALSE )</f>
        <v>Pak Arab Housing Society</v>
      </c>
      <c r="I516" s="9" t="str">
        <f>VLOOKUP(A516,Sheet9!$A:$F,4,FALSE)</f>
        <v>Lahore</v>
      </c>
      <c r="J516" s="9" t="str">
        <f>VLOOKUP(A516,Sheet9!$A:$F,5,FALSE)</f>
        <v>Punjab</v>
      </c>
      <c r="K516" s="9" t="str">
        <f>VLOOKUP(A516,Sheet9!$A:$F,6,FALSE)</f>
        <v>For Sale</v>
      </c>
      <c r="L516" s="9">
        <f t="shared" si="8"/>
        <v>2</v>
      </c>
    </row>
    <row r="517" spans="1:12" ht="15" thickBot="1">
      <c r="A517" s="31">
        <v>5794550</v>
      </c>
      <c r="B517" s="35">
        <v>6876</v>
      </c>
      <c r="C517" s="35" t="s">
        <v>154</v>
      </c>
      <c r="D517" s="35">
        <v>5</v>
      </c>
      <c r="E517" s="35">
        <v>4</v>
      </c>
      <c r="F517" s="36">
        <v>43648</v>
      </c>
      <c r="G517" s="9">
        <f>VLOOKUP(A517,Sheet9!$A:$F,2,FALSE)</f>
        <v>39000000</v>
      </c>
      <c r="H517" s="9" t="str">
        <f>VLOOKUP(A517,Sheet9!$A:$F,3,FALSE )</f>
        <v>Gulshan-e-Iqbal Town</v>
      </c>
      <c r="I517" s="9" t="str">
        <f>VLOOKUP(A517,Sheet9!$A:$F,4,FALSE)</f>
        <v>Karachi</v>
      </c>
      <c r="J517" s="9" t="str">
        <f>VLOOKUP(A517,Sheet9!$A:$F,5,FALSE)</f>
        <v>Sindh</v>
      </c>
      <c r="K517" s="9" t="str">
        <f>VLOOKUP(A517,Sheet9!$A:$F,6,FALSE)</f>
        <v>For Sale</v>
      </c>
      <c r="L517" s="9">
        <f t="shared" si="8"/>
        <v>1</v>
      </c>
    </row>
    <row r="518" spans="1:12" ht="15" thickBot="1">
      <c r="A518" s="31">
        <v>5794603</v>
      </c>
      <c r="B518" s="35">
        <v>10322</v>
      </c>
      <c r="C518" s="35" t="s">
        <v>153</v>
      </c>
      <c r="D518" s="35">
        <v>4</v>
      </c>
      <c r="E518" s="35">
        <v>3</v>
      </c>
      <c r="F518" s="36">
        <v>43530</v>
      </c>
      <c r="G518" s="9">
        <f>VLOOKUP(A518,Sheet9!$A:$F,2,FALSE)</f>
        <v>10500000</v>
      </c>
      <c r="H518" s="9" t="str">
        <f>VLOOKUP(A518,Sheet9!$A:$F,3,FALSE )</f>
        <v>Kuri Road</v>
      </c>
      <c r="I518" s="9" t="str">
        <f>VLOOKUP(A518,Sheet9!$A:$F,4,FALSE)</f>
        <v>Islamabad</v>
      </c>
      <c r="J518" s="9" t="str">
        <f>VLOOKUP(A518,Sheet9!$A:$F,5,FALSE)</f>
        <v>Islamabad Capital</v>
      </c>
      <c r="K518" s="9" t="str">
        <f>VLOOKUP(A518,Sheet9!$A:$F,6,FALSE)</f>
        <v>For Sale</v>
      </c>
      <c r="L518" s="9">
        <f t="shared" si="8"/>
        <v>3</v>
      </c>
    </row>
    <row r="519" spans="1:12" ht="15" thickBot="1">
      <c r="A519" s="31">
        <v>5805911</v>
      </c>
      <c r="B519" s="35">
        <v>1484</v>
      </c>
      <c r="C519" s="35" t="s">
        <v>153</v>
      </c>
      <c r="D519" s="35">
        <v>6</v>
      </c>
      <c r="E519" s="35">
        <v>4</v>
      </c>
      <c r="F519" s="36">
        <v>43603</v>
      </c>
      <c r="G519" s="9">
        <f>VLOOKUP(A519,Sheet9!$A:$F,2,FALSE)</f>
        <v>185000</v>
      </c>
      <c r="H519" s="9" t="str">
        <f>VLOOKUP(A519,Sheet9!$A:$F,3,FALSE )</f>
        <v>DHA Defence</v>
      </c>
      <c r="I519" s="9" t="str">
        <f>VLOOKUP(A519,Sheet9!$A:$F,4,FALSE)</f>
        <v>Karachi</v>
      </c>
      <c r="J519" s="9" t="str">
        <f>VLOOKUP(A519,Sheet9!$A:$F,5,FALSE)</f>
        <v>Sindh</v>
      </c>
      <c r="K519" s="9" t="str">
        <f>VLOOKUP(A519,Sheet9!$A:$F,6,FALSE)</f>
        <v>For Rent</v>
      </c>
      <c r="L519" s="9">
        <f t="shared" si="8"/>
        <v>1</v>
      </c>
    </row>
    <row r="520" spans="1:12" ht="15" thickBot="1">
      <c r="A520" s="31">
        <v>5806903</v>
      </c>
      <c r="B520" s="35">
        <v>1448</v>
      </c>
      <c r="C520" s="35" t="s">
        <v>153</v>
      </c>
      <c r="D520" s="35">
        <v>6</v>
      </c>
      <c r="E520" s="35">
        <v>5</v>
      </c>
      <c r="F520" s="36">
        <v>43618</v>
      </c>
      <c r="G520" s="9">
        <f>VLOOKUP(A520,Sheet9!$A:$F,2,FALSE)</f>
        <v>42500000</v>
      </c>
      <c r="H520" s="9" t="str">
        <f>VLOOKUP(A520,Sheet9!$A:$F,3,FALSE )</f>
        <v>DHA Defence</v>
      </c>
      <c r="I520" s="9" t="str">
        <f>VLOOKUP(A520,Sheet9!$A:$F,4,FALSE)</f>
        <v>Lahore</v>
      </c>
      <c r="J520" s="9" t="str">
        <f>VLOOKUP(A520,Sheet9!$A:$F,5,FALSE)</f>
        <v>Punjab</v>
      </c>
      <c r="K520" s="9" t="str">
        <f>VLOOKUP(A520,Sheet9!$A:$F,6,FALSE)</f>
        <v>For Sale</v>
      </c>
      <c r="L520" s="9">
        <f t="shared" si="8"/>
        <v>2</v>
      </c>
    </row>
    <row r="521" spans="1:12" ht="29.5" thickBot="1">
      <c r="A521" s="31">
        <v>5821629</v>
      </c>
      <c r="B521" s="35">
        <v>1156</v>
      </c>
      <c r="C521" s="35" t="s">
        <v>156</v>
      </c>
      <c r="D521" s="35">
        <v>3</v>
      </c>
      <c r="E521" s="35">
        <v>2</v>
      </c>
      <c r="F521" s="36">
        <v>43642</v>
      </c>
      <c r="G521" s="9">
        <f>VLOOKUP(A521,Sheet9!$A:$F,2,FALSE)</f>
        <v>25000</v>
      </c>
      <c r="H521" s="9" t="str">
        <f>VLOOKUP(A521,Sheet9!$A:$F,3,FALSE )</f>
        <v>Muslim Town</v>
      </c>
      <c r="I521" s="9" t="str">
        <f>VLOOKUP(A521,Sheet9!$A:$F,4,FALSE)</f>
        <v>Faisalabad</v>
      </c>
      <c r="J521" s="9" t="str">
        <f>VLOOKUP(A521,Sheet9!$A:$F,5,FALSE)</f>
        <v>Punjab</v>
      </c>
      <c r="K521" s="9" t="str">
        <f>VLOOKUP(A521,Sheet9!$A:$F,6,FALSE)</f>
        <v>For Rent</v>
      </c>
      <c r="L521" s="9">
        <f t="shared" si="8"/>
        <v>2</v>
      </c>
    </row>
    <row r="522" spans="1:12" ht="15" thickBot="1">
      <c r="A522" s="31">
        <v>5822422</v>
      </c>
      <c r="B522" s="35">
        <v>3806</v>
      </c>
      <c r="C522" s="35" t="s">
        <v>153</v>
      </c>
      <c r="D522" s="35">
        <v>10</v>
      </c>
      <c r="E522" s="35">
        <v>10</v>
      </c>
      <c r="F522" s="36">
        <v>43559</v>
      </c>
      <c r="G522" s="9">
        <f>VLOOKUP(A522,Sheet9!$A:$F,2,FALSE)</f>
        <v>200000000</v>
      </c>
      <c r="H522" s="9" t="str">
        <f>VLOOKUP(A522,Sheet9!$A:$F,3,FALSE )</f>
        <v>Green Fort</v>
      </c>
      <c r="I522" s="9" t="str">
        <f>VLOOKUP(A522,Sheet9!$A:$F,4,FALSE)</f>
        <v>Lahore</v>
      </c>
      <c r="J522" s="9" t="str">
        <f>VLOOKUP(A522,Sheet9!$A:$F,5,FALSE)</f>
        <v>Punjab</v>
      </c>
      <c r="K522" s="9" t="str">
        <f>VLOOKUP(A522,Sheet9!$A:$F,6,FALSE)</f>
        <v>For Sale</v>
      </c>
      <c r="L522" s="9">
        <f t="shared" si="8"/>
        <v>2</v>
      </c>
    </row>
    <row r="523" spans="1:12" ht="15" thickBot="1">
      <c r="A523" s="31">
        <v>5823437</v>
      </c>
      <c r="B523" s="35">
        <v>9135</v>
      </c>
      <c r="C523" s="35" t="s">
        <v>154</v>
      </c>
      <c r="D523" s="35">
        <v>2</v>
      </c>
      <c r="E523" s="35">
        <v>2</v>
      </c>
      <c r="F523" s="36">
        <v>43591</v>
      </c>
      <c r="G523" s="9">
        <f>VLOOKUP(A523,Sheet9!$A:$F,2,FALSE)</f>
        <v>4666000</v>
      </c>
      <c r="H523" s="9" t="str">
        <f>VLOOKUP(A523,Sheet9!$A:$F,3,FALSE )</f>
        <v>Fazaia Housing Scheme</v>
      </c>
      <c r="I523" s="9" t="str">
        <f>VLOOKUP(A523,Sheet9!$A:$F,4,FALSE)</f>
        <v>Karachi</v>
      </c>
      <c r="J523" s="9" t="str">
        <f>VLOOKUP(A523,Sheet9!$A:$F,5,FALSE)</f>
        <v>Sindh</v>
      </c>
      <c r="K523" s="9" t="str">
        <f>VLOOKUP(A523,Sheet9!$A:$F,6,FALSE)</f>
        <v>For Sale</v>
      </c>
      <c r="L523" s="9">
        <f t="shared" si="8"/>
        <v>1</v>
      </c>
    </row>
    <row r="524" spans="1:12" ht="15" thickBot="1">
      <c r="A524" s="31">
        <v>5829987</v>
      </c>
      <c r="B524" s="35">
        <v>423</v>
      </c>
      <c r="C524" s="35" t="s">
        <v>153</v>
      </c>
      <c r="D524" s="35">
        <v>0</v>
      </c>
      <c r="E524" s="35">
        <v>0</v>
      </c>
      <c r="F524" s="36">
        <v>43499</v>
      </c>
      <c r="G524" s="9">
        <f>VLOOKUP(A524,Sheet9!$A:$F,2,FALSE)</f>
        <v>11000000</v>
      </c>
      <c r="H524" s="9" t="str">
        <f>VLOOKUP(A524,Sheet9!$A:$F,3,FALSE )</f>
        <v>Wapda Town</v>
      </c>
      <c r="I524" s="9" t="str">
        <f>VLOOKUP(A524,Sheet9!$A:$F,4,FALSE)</f>
        <v>Lahore</v>
      </c>
      <c r="J524" s="9" t="str">
        <f>VLOOKUP(A524,Sheet9!$A:$F,5,FALSE)</f>
        <v>Punjab</v>
      </c>
      <c r="K524" s="9" t="str">
        <f>VLOOKUP(A524,Sheet9!$A:$F,6,FALSE)</f>
        <v>For Sale</v>
      </c>
      <c r="L524" s="9">
        <f t="shared" si="8"/>
        <v>2</v>
      </c>
    </row>
    <row r="525" spans="1:12" ht="15" thickBot="1">
      <c r="A525" s="31">
        <v>5835207</v>
      </c>
      <c r="B525" s="35">
        <v>3331</v>
      </c>
      <c r="C525" s="35" t="s">
        <v>153</v>
      </c>
      <c r="D525" s="35">
        <v>3</v>
      </c>
      <c r="E525" s="35">
        <v>4</v>
      </c>
      <c r="F525" s="36">
        <v>43635</v>
      </c>
      <c r="G525" s="9">
        <f>VLOOKUP(A525,Sheet9!$A:$F,2,FALSE)</f>
        <v>14500000</v>
      </c>
      <c r="H525" s="9" t="str">
        <f>VLOOKUP(A525,Sheet9!$A:$F,3,FALSE )</f>
        <v>G-11</v>
      </c>
      <c r="I525" s="9" t="str">
        <f>VLOOKUP(A525,Sheet9!$A:$F,4,FALSE)</f>
        <v>Islamabad</v>
      </c>
      <c r="J525" s="9" t="str">
        <f>VLOOKUP(A525,Sheet9!$A:$F,5,FALSE)</f>
        <v>Islamabad Capital</v>
      </c>
      <c r="K525" s="9" t="str">
        <f>VLOOKUP(A525,Sheet9!$A:$F,6,FALSE)</f>
        <v>For Sale</v>
      </c>
      <c r="L525" s="9">
        <f t="shared" si="8"/>
        <v>3</v>
      </c>
    </row>
    <row r="526" spans="1:12" ht="15" thickBot="1">
      <c r="A526" s="31">
        <v>5842740</v>
      </c>
      <c r="B526" s="35">
        <v>1006</v>
      </c>
      <c r="C526" s="35" t="s">
        <v>153</v>
      </c>
      <c r="D526" s="35">
        <v>2</v>
      </c>
      <c r="E526" s="35">
        <v>2</v>
      </c>
      <c r="F526" s="36">
        <v>43588</v>
      </c>
      <c r="G526" s="9">
        <f>VLOOKUP(A526,Sheet9!$A:$F,2,FALSE)</f>
        <v>10000000</v>
      </c>
      <c r="H526" s="9" t="str">
        <f>VLOOKUP(A526,Sheet9!$A:$F,3,FALSE )</f>
        <v>Pak Arab Housing Society</v>
      </c>
      <c r="I526" s="9" t="str">
        <f>VLOOKUP(A526,Sheet9!$A:$F,4,FALSE)</f>
        <v>Lahore</v>
      </c>
      <c r="J526" s="9" t="str">
        <f>VLOOKUP(A526,Sheet9!$A:$F,5,FALSE)</f>
        <v>Punjab</v>
      </c>
      <c r="K526" s="9" t="str">
        <f>VLOOKUP(A526,Sheet9!$A:$F,6,FALSE)</f>
        <v>For Sale</v>
      </c>
      <c r="L526" s="9">
        <f t="shared" si="8"/>
        <v>2</v>
      </c>
    </row>
    <row r="527" spans="1:12" ht="15" thickBot="1">
      <c r="A527" s="31">
        <v>5842741</v>
      </c>
      <c r="B527" s="35">
        <v>4110</v>
      </c>
      <c r="C527" s="35" t="s">
        <v>153</v>
      </c>
      <c r="D527" s="35">
        <v>4</v>
      </c>
      <c r="E527" s="35">
        <v>3</v>
      </c>
      <c r="F527" s="36">
        <v>43588</v>
      </c>
      <c r="G527" s="9">
        <f>VLOOKUP(A527,Sheet9!$A:$F,2,FALSE)</f>
        <v>11500000</v>
      </c>
      <c r="H527" s="9" t="str">
        <f>VLOOKUP(A527,Sheet9!$A:$F,3,FALSE )</f>
        <v>Pak Arab Housing Society</v>
      </c>
      <c r="I527" s="9" t="str">
        <f>VLOOKUP(A527,Sheet9!$A:$F,4,FALSE)</f>
        <v>Lahore</v>
      </c>
      <c r="J527" s="9" t="str">
        <f>VLOOKUP(A527,Sheet9!$A:$F,5,FALSE)</f>
        <v>Punjab</v>
      </c>
      <c r="K527" s="9" t="str">
        <f>VLOOKUP(A527,Sheet9!$A:$F,6,FALSE)</f>
        <v>For Sale</v>
      </c>
      <c r="L527" s="9">
        <f t="shared" si="8"/>
        <v>2</v>
      </c>
    </row>
    <row r="528" spans="1:12" ht="15" thickBot="1">
      <c r="A528" s="31">
        <v>5852748</v>
      </c>
      <c r="B528" s="35">
        <v>1551</v>
      </c>
      <c r="C528" s="35" t="s">
        <v>153</v>
      </c>
      <c r="D528" s="35">
        <v>0</v>
      </c>
      <c r="E528" s="35">
        <v>0</v>
      </c>
      <c r="F528" s="36">
        <v>43588</v>
      </c>
      <c r="G528" s="9">
        <f>VLOOKUP(A528,Sheet9!$A:$F,2,FALSE)</f>
        <v>190000000</v>
      </c>
      <c r="H528" s="9" t="str">
        <f>VLOOKUP(A528,Sheet9!$A:$F,3,FALSE )</f>
        <v>Model Town</v>
      </c>
      <c r="I528" s="9" t="str">
        <f>VLOOKUP(A528,Sheet9!$A:$F,4,FALSE)</f>
        <v>Lahore</v>
      </c>
      <c r="J528" s="9" t="str">
        <f>VLOOKUP(A528,Sheet9!$A:$F,5,FALSE)</f>
        <v>Punjab</v>
      </c>
      <c r="K528" s="9" t="str">
        <f>VLOOKUP(A528,Sheet9!$A:$F,6,FALSE)</f>
        <v>For Sale</v>
      </c>
      <c r="L528" s="9">
        <f t="shared" si="8"/>
        <v>2</v>
      </c>
    </row>
    <row r="529" spans="1:12" ht="15" thickBot="1">
      <c r="A529" s="31">
        <v>5868636</v>
      </c>
      <c r="B529" s="35">
        <v>9195</v>
      </c>
      <c r="C529" s="35" t="s">
        <v>154</v>
      </c>
      <c r="D529" s="35">
        <v>3</v>
      </c>
      <c r="E529" s="35">
        <v>3</v>
      </c>
      <c r="F529" s="36">
        <v>43591</v>
      </c>
      <c r="G529" s="9">
        <f>VLOOKUP(A529,Sheet9!$A:$F,2,FALSE)</f>
        <v>4848000</v>
      </c>
      <c r="H529" s="9" t="str">
        <f>VLOOKUP(A529,Sheet9!$A:$F,3,FALSE )</f>
        <v>Scheme 33</v>
      </c>
      <c r="I529" s="9" t="str">
        <f>VLOOKUP(A529,Sheet9!$A:$F,4,FALSE)</f>
        <v>Karachi</v>
      </c>
      <c r="J529" s="9" t="str">
        <f>VLOOKUP(A529,Sheet9!$A:$F,5,FALSE)</f>
        <v>Sindh</v>
      </c>
      <c r="K529" s="9" t="str">
        <f>VLOOKUP(A529,Sheet9!$A:$F,6,FALSE)</f>
        <v>For Sale</v>
      </c>
      <c r="L529" s="9">
        <f t="shared" si="8"/>
        <v>1</v>
      </c>
    </row>
    <row r="530" spans="1:12" ht="15" thickBot="1">
      <c r="A530" s="31">
        <v>5877435</v>
      </c>
      <c r="B530" s="35">
        <v>9586</v>
      </c>
      <c r="C530" s="35" t="s">
        <v>153</v>
      </c>
      <c r="D530" s="35">
        <v>6</v>
      </c>
      <c r="E530" s="35">
        <v>7</v>
      </c>
      <c r="F530" s="36">
        <v>43621</v>
      </c>
      <c r="G530" s="9">
        <f>VLOOKUP(A530,Sheet9!$A:$F,2,FALSE)</f>
        <v>95000000</v>
      </c>
      <c r="H530" s="9" t="str">
        <f>VLOOKUP(A530,Sheet9!$A:$F,3,FALSE )</f>
        <v>Cantt</v>
      </c>
      <c r="I530" s="9" t="str">
        <f>VLOOKUP(A530,Sheet9!$A:$F,4,FALSE)</f>
        <v>Karachi</v>
      </c>
      <c r="J530" s="9" t="str">
        <f>VLOOKUP(A530,Sheet9!$A:$F,5,FALSE)</f>
        <v>Sindh</v>
      </c>
      <c r="K530" s="9" t="str">
        <f>VLOOKUP(A530,Sheet9!$A:$F,6,FALSE)</f>
        <v>For Sale</v>
      </c>
      <c r="L530" s="9">
        <f t="shared" si="8"/>
        <v>1</v>
      </c>
    </row>
    <row r="531" spans="1:12" ht="15" thickBot="1">
      <c r="A531" s="31">
        <v>5878767</v>
      </c>
      <c r="B531" s="35">
        <v>3445</v>
      </c>
      <c r="C531" s="35" t="s">
        <v>154</v>
      </c>
      <c r="D531" s="35">
        <v>2</v>
      </c>
      <c r="E531" s="35">
        <v>0</v>
      </c>
      <c r="F531" s="36">
        <v>43393</v>
      </c>
      <c r="G531" s="9">
        <f>VLOOKUP(A531,Sheet9!$A:$F,2,FALSE)</f>
        <v>75000</v>
      </c>
      <c r="H531" s="9" t="str">
        <f>VLOOKUP(A531,Sheet9!$A:$F,3,FALSE )</f>
        <v>I-8</v>
      </c>
      <c r="I531" s="9" t="str">
        <f>VLOOKUP(A531,Sheet9!$A:$F,4,FALSE)</f>
        <v>Islamabad</v>
      </c>
      <c r="J531" s="9" t="str">
        <f>VLOOKUP(A531,Sheet9!$A:$F,5,FALSE)</f>
        <v>Islamabad Capital</v>
      </c>
      <c r="K531" s="9" t="str">
        <f>VLOOKUP(A531,Sheet9!$A:$F,6,FALSE)</f>
        <v>For Rent</v>
      </c>
      <c r="L531" s="9">
        <f t="shared" si="8"/>
        <v>3</v>
      </c>
    </row>
    <row r="532" spans="1:12" ht="15" thickBot="1">
      <c r="A532" s="31">
        <v>5897260</v>
      </c>
      <c r="B532" s="35">
        <v>4190</v>
      </c>
      <c r="C532" s="35" t="s">
        <v>153</v>
      </c>
      <c r="D532" s="35">
        <v>5</v>
      </c>
      <c r="E532" s="35">
        <v>4</v>
      </c>
      <c r="F532" s="36">
        <v>43641</v>
      </c>
      <c r="G532" s="9">
        <f>VLOOKUP(A532,Sheet9!$A:$F,2,FALSE)</f>
        <v>18800000</v>
      </c>
      <c r="H532" s="9" t="str">
        <f>VLOOKUP(A532,Sheet9!$A:$F,3,FALSE )</f>
        <v>State Life Housing Society</v>
      </c>
      <c r="I532" s="9" t="str">
        <f>VLOOKUP(A532,Sheet9!$A:$F,4,FALSE)</f>
        <v>Lahore</v>
      </c>
      <c r="J532" s="9" t="str">
        <f>VLOOKUP(A532,Sheet9!$A:$F,5,FALSE)</f>
        <v>Punjab</v>
      </c>
      <c r="K532" s="9" t="str">
        <f>VLOOKUP(A532,Sheet9!$A:$F,6,FALSE)</f>
        <v>For Sale</v>
      </c>
      <c r="L532" s="9">
        <f t="shared" si="8"/>
        <v>2</v>
      </c>
    </row>
    <row r="533" spans="1:12" ht="15" thickBot="1">
      <c r="A533" s="31">
        <v>5908129</v>
      </c>
      <c r="B533" s="35">
        <v>1782</v>
      </c>
      <c r="C533" s="35" t="s">
        <v>153</v>
      </c>
      <c r="D533" s="35">
        <v>3</v>
      </c>
      <c r="E533" s="35">
        <v>3</v>
      </c>
      <c r="F533" s="36">
        <v>43409</v>
      </c>
      <c r="G533" s="9">
        <f>VLOOKUP(A533,Sheet9!$A:$F,2,FALSE)</f>
        <v>11000000</v>
      </c>
      <c r="H533" s="9" t="str">
        <f>VLOOKUP(A533,Sheet9!$A:$F,3,FALSE )</f>
        <v>Bahria Town</v>
      </c>
      <c r="I533" s="9" t="str">
        <f>VLOOKUP(A533,Sheet9!$A:$F,4,FALSE)</f>
        <v>Lahore</v>
      </c>
      <c r="J533" s="9" t="str">
        <f>VLOOKUP(A533,Sheet9!$A:$F,5,FALSE)</f>
        <v>Punjab</v>
      </c>
      <c r="K533" s="9" t="str">
        <f>VLOOKUP(A533,Sheet9!$A:$F,6,FALSE)</f>
        <v>For Sale</v>
      </c>
      <c r="L533" s="9">
        <f t="shared" si="8"/>
        <v>2</v>
      </c>
    </row>
    <row r="534" spans="1:12" ht="15" thickBot="1">
      <c r="A534" s="31">
        <v>5912592</v>
      </c>
      <c r="B534" s="35">
        <v>3522</v>
      </c>
      <c r="C534" s="35" t="s">
        <v>153</v>
      </c>
      <c r="D534" s="35">
        <v>5</v>
      </c>
      <c r="E534" s="35">
        <v>5</v>
      </c>
      <c r="F534" s="36">
        <v>43558</v>
      </c>
      <c r="G534" s="9">
        <f>VLOOKUP(A534,Sheet9!$A:$F,2,FALSE)</f>
        <v>56000000</v>
      </c>
      <c r="H534" s="9" t="str">
        <f>VLOOKUP(A534,Sheet9!$A:$F,3,FALSE )</f>
        <v>Allama Iqbal Town</v>
      </c>
      <c r="I534" s="9" t="str">
        <f>VLOOKUP(A534,Sheet9!$A:$F,4,FALSE)</f>
        <v>Lahore</v>
      </c>
      <c r="J534" s="9" t="str">
        <f>VLOOKUP(A534,Sheet9!$A:$F,5,FALSE)</f>
        <v>Punjab</v>
      </c>
      <c r="K534" s="9" t="str">
        <f>VLOOKUP(A534,Sheet9!$A:$F,6,FALSE)</f>
        <v>For Sale</v>
      </c>
      <c r="L534" s="9">
        <f t="shared" si="8"/>
        <v>2</v>
      </c>
    </row>
    <row r="535" spans="1:12" ht="15" thickBot="1">
      <c r="A535" s="31">
        <v>5927863</v>
      </c>
      <c r="B535" s="35">
        <v>6865</v>
      </c>
      <c r="C535" s="35" t="s">
        <v>153</v>
      </c>
      <c r="D535" s="35">
        <v>4</v>
      </c>
      <c r="E535" s="35">
        <v>3</v>
      </c>
      <c r="F535" s="36">
        <v>43642</v>
      </c>
      <c r="G535" s="9">
        <f>VLOOKUP(A535,Sheet9!$A:$F,2,FALSE)</f>
        <v>40000000</v>
      </c>
      <c r="H535" s="9" t="str">
        <f>VLOOKUP(A535,Sheet9!$A:$F,3,FALSE )</f>
        <v>Gulshan-e-Iqbal Town</v>
      </c>
      <c r="I535" s="9" t="str">
        <f>VLOOKUP(A535,Sheet9!$A:$F,4,FALSE)</f>
        <v>Karachi</v>
      </c>
      <c r="J535" s="9" t="str">
        <f>VLOOKUP(A535,Sheet9!$A:$F,5,FALSE)</f>
        <v>Sindh</v>
      </c>
      <c r="K535" s="9" t="str">
        <f>VLOOKUP(A535,Sheet9!$A:$F,6,FALSE)</f>
        <v>For Sale</v>
      </c>
      <c r="L535" s="9">
        <f t="shared" si="8"/>
        <v>1</v>
      </c>
    </row>
    <row r="536" spans="1:12" ht="15" thickBot="1">
      <c r="A536" s="31">
        <v>5930077</v>
      </c>
      <c r="B536" s="35">
        <v>476</v>
      </c>
      <c r="C536" s="35" t="s">
        <v>153</v>
      </c>
      <c r="D536" s="35">
        <v>5</v>
      </c>
      <c r="E536" s="35">
        <v>4</v>
      </c>
      <c r="F536" s="36">
        <v>43591</v>
      </c>
      <c r="G536" s="9">
        <f>VLOOKUP(A536,Sheet9!$A:$F,2,FALSE)</f>
        <v>8500000</v>
      </c>
      <c r="H536" s="9" t="str">
        <f>VLOOKUP(A536,Sheet9!$A:$F,3,FALSE )</f>
        <v>Malir</v>
      </c>
      <c r="I536" s="9" t="str">
        <f>VLOOKUP(A536,Sheet9!$A:$F,4,FALSE)</f>
        <v>Karachi</v>
      </c>
      <c r="J536" s="9" t="str">
        <f>VLOOKUP(A536,Sheet9!$A:$F,5,FALSE)</f>
        <v>Sindh</v>
      </c>
      <c r="K536" s="9" t="str">
        <f>VLOOKUP(A536,Sheet9!$A:$F,6,FALSE)</f>
        <v>For Sale</v>
      </c>
      <c r="L536" s="9">
        <f t="shared" si="8"/>
        <v>1</v>
      </c>
    </row>
    <row r="537" spans="1:12" ht="15" thickBot="1">
      <c r="A537" s="31">
        <v>5930859</v>
      </c>
      <c r="B537" s="35">
        <v>3282</v>
      </c>
      <c r="C537" s="35" t="s">
        <v>153</v>
      </c>
      <c r="D537" s="35">
        <v>6</v>
      </c>
      <c r="E537" s="35">
        <v>6</v>
      </c>
      <c r="F537" s="36">
        <v>43560</v>
      </c>
      <c r="G537" s="9">
        <f>VLOOKUP(A537,Sheet9!$A:$F,2,FALSE)</f>
        <v>83000000</v>
      </c>
      <c r="H537" s="9" t="str">
        <f>VLOOKUP(A537,Sheet9!$A:$F,3,FALSE )</f>
        <v>F-11</v>
      </c>
      <c r="I537" s="9" t="str">
        <f>VLOOKUP(A537,Sheet9!$A:$F,4,FALSE)</f>
        <v>Islamabad</v>
      </c>
      <c r="J537" s="9" t="str">
        <f>VLOOKUP(A537,Sheet9!$A:$F,5,FALSE)</f>
        <v>Islamabad Capital</v>
      </c>
      <c r="K537" s="9" t="str">
        <f>VLOOKUP(A537,Sheet9!$A:$F,6,FALSE)</f>
        <v>For Sale</v>
      </c>
      <c r="L537" s="9">
        <f t="shared" si="8"/>
        <v>3</v>
      </c>
    </row>
    <row r="538" spans="1:12" ht="15" thickBot="1">
      <c r="A538" s="31">
        <v>5939484</v>
      </c>
      <c r="B538" s="35">
        <v>1447</v>
      </c>
      <c r="C538" s="35" t="s">
        <v>153</v>
      </c>
      <c r="D538" s="35">
        <v>6</v>
      </c>
      <c r="E538" s="35">
        <v>4</v>
      </c>
      <c r="F538" s="36">
        <v>43649</v>
      </c>
      <c r="G538" s="9">
        <f>VLOOKUP(A538,Sheet9!$A:$F,2,FALSE)</f>
        <v>23600000</v>
      </c>
      <c r="H538" s="9" t="str">
        <f>VLOOKUP(A538,Sheet9!$A:$F,3,FALSE )</f>
        <v>DHA Defence</v>
      </c>
      <c r="I538" s="9" t="str">
        <f>VLOOKUP(A538,Sheet9!$A:$F,4,FALSE)</f>
        <v>Lahore</v>
      </c>
      <c r="J538" s="9" t="str">
        <f>VLOOKUP(A538,Sheet9!$A:$F,5,FALSE)</f>
        <v>Punjab</v>
      </c>
      <c r="K538" s="9" t="str">
        <f>VLOOKUP(A538,Sheet9!$A:$F,6,FALSE)</f>
        <v>For Sale</v>
      </c>
      <c r="L538" s="9">
        <f t="shared" si="8"/>
        <v>2</v>
      </c>
    </row>
    <row r="539" spans="1:12" ht="15" thickBot="1">
      <c r="A539" s="31">
        <v>5939607</v>
      </c>
      <c r="B539" s="35">
        <v>11579</v>
      </c>
      <c r="C539" s="35" t="s">
        <v>153</v>
      </c>
      <c r="D539" s="35">
        <v>6</v>
      </c>
      <c r="E539" s="35">
        <v>5</v>
      </c>
      <c r="F539" s="36">
        <v>43647</v>
      </c>
      <c r="G539" s="9">
        <f>VLOOKUP(A539,Sheet9!$A:$F,2,FALSE)</f>
        <v>90000000</v>
      </c>
      <c r="H539" s="9" t="str">
        <f>VLOOKUP(A539,Sheet9!$A:$F,3,FALSE )</f>
        <v>Navy Housing Scheme Karsaz</v>
      </c>
      <c r="I539" s="9" t="str">
        <f>VLOOKUP(A539,Sheet9!$A:$F,4,FALSE)</f>
        <v>Karachi</v>
      </c>
      <c r="J539" s="9" t="str">
        <f>VLOOKUP(A539,Sheet9!$A:$F,5,FALSE)</f>
        <v>Sindh</v>
      </c>
      <c r="K539" s="9" t="str">
        <f>VLOOKUP(A539,Sheet9!$A:$F,6,FALSE)</f>
        <v>For Sale</v>
      </c>
      <c r="L539" s="9">
        <f t="shared" si="8"/>
        <v>1</v>
      </c>
    </row>
    <row r="540" spans="1:12" ht="15" thickBot="1">
      <c r="A540" s="31">
        <v>5949733</v>
      </c>
      <c r="B540" s="35">
        <v>3049</v>
      </c>
      <c r="C540" s="35" t="s">
        <v>153</v>
      </c>
      <c r="D540" s="35">
        <v>8</v>
      </c>
      <c r="E540" s="35">
        <v>6</v>
      </c>
      <c r="F540" s="36">
        <v>43482</v>
      </c>
      <c r="G540" s="9">
        <f>VLOOKUP(A540,Sheet9!$A:$F,2,FALSE)</f>
        <v>32500000</v>
      </c>
      <c r="H540" s="9" t="str">
        <f>VLOOKUP(A540,Sheet9!$A:$F,3,FALSE )</f>
        <v>Bahria Town Rawalpindi</v>
      </c>
      <c r="I540" s="9" t="str">
        <f>VLOOKUP(A540,Sheet9!$A:$F,4,FALSE)</f>
        <v>Rawalpindi</v>
      </c>
      <c r="J540" s="9" t="str">
        <f>VLOOKUP(A540,Sheet9!$A:$F,5,FALSE)</f>
        <v>Punjab</v>
      </c>
      <c r="K540" s="9" t="str">
        <f>VLOOKUP(A540,Sheet9!$A:$F,6,FALSE)</f>
        <v>For Sale</v>
      </c>
      <c r="L540" s="9">
        <f t="shared" si="8"/>
        <v>2</v>
      </c>
    </row>
    <row r="541" spans="1:12" ht="15" thickBot="1">
      <c r="A541" s="31">
        <v>5949755</v>
      </c>
      <c r="B541" s="35">
        <v>3052</v>
      </c>
      <c r="C541" s="35" t="s">
        <v>153</v>
      </c>
      <c r="D541" s="35">
        <v>8</v>
      </c>
      <c r="E541" s="35">
        <v>7</v>
      </c>
      <c r="F541" s="36">
        <v>43482</v>
      </c>
      <c r="G541" s="9">
        <f>VLOOKUP(A541,Sheet9!$A:$F,2,FALSE)</f>
        <v>40000000</v>
      </c>
      <c r="H541" s="9" t="str">
        <f>VLOOKUP(A541,Sheet9!$A:$F,3,FALSE )</f>
        <v>Bahria Town Rawalpindi</v>
      </c>
      <c r="I541" s="9" t="str">
        <f>VLOOKUP(A541,Sheet9!$A:$F,4,FALSE)</f>
        <v>Rawalpindi</v>
      </c>
      <c r="J541" s="9" t="str">
        <f>VLOOKUP(A541,Sheet9!$A:$F,5,FALSE)</f>
        <v>Punjab</v>
      </c>
      <c r="K541" s="9" t="str">
        <f>VLOOKUP(A541,Sheet9!$A:$F,6,FALSE)</f>
        <v>For Sale</v>
      </c>
      <c r="L541" s="9">
        <f t="shared" si="8"/>
        <v>2</v>
      </c>
    </row>
    <row r="542" spans="1:12" ht="15" thickBot="1">
      <c r="A542" s="31">
        <v>5955760</v>
      </c>
      <c r="B542" s="35">
        <v>10542</v>
      </c>
      <c r="C542" s="35" t="s">
        <v>153</v>
      </c>
      <c r="D542" s="35">
        <v>0</v>
      </c>
      <c r="E542" s="35">
        <v>4</v>
      </c>
      <c r="F542" s="36">
        <v>43649</v>
      </c>
      <c r="G542" s="9">
        <f>VLOOKUP(A542,Sheet9!$A:$F,2,FALSE)</f>
        <v>37000000</v>
      </c>
      <c r="H542" s="9" t="str">
        <f>VLOOKUP(A542,Sheet9!$A:$F,3,FALSE )</f>
        <v>Askari</v>
      </c>
      <c r="I542" s="9" t="str">
        <f>VLOOKUP(A542,Sheet9!$A:$F,4,FALSE)</f>
        <v>Lahore</v>
      </c>
      <c r="J542" s="9" t="str">
        <f>VLOOKUP(A542,Sheet9!$A:$F,5,FALSE)</f>
        <v>Punjab</v>
      </c>
      <c r="K542" s="9" t="str">
        <f>VLOOKUP(A542,Sheet9!$A:$F,6,FALSE)</f>
        <v>For Sale</v>
      </c>
      <c r="L542" s="9">
        <f t="shared" si="8"/>
        <v>2</v>
      </c>
    </row>
    <row r="543" spans="1:12" ht="15" thickBot="1">
      <c r="A543" s="31">
        <v>5955761</v>
      </c>
      <c r="B543" s="35">
        <v>10542</v>
      </c>
      <c r="C543" s="35" t="s">
        <v>153</v>
      </c>
      <c r="D543" s="35">
        <v>0</v>
      </c>
      <c r="E543" s="35">
        <v>4</v>
      </c>
      <c r="F543" s="36">
        <v>43649</v>
      </c>
      <c r="G543" s="9">
        <f>VLOOKUP(A543,Sheet9!$A:$F,2,FALSE)</f>
        <v>38000000</v>
      </c>
      <c r="H543" s="9" t="str">
        <f>VLOOKUP(A543,Sheet9!$A:$F,3,FALSE )</f>
        <v>Askari</v>
      </c>
      <c r="I543" s="9" t="str">
        <f>VLOOKUP(A543,Sheet9!$A:$F,4,FALSE)</f>
        <v>Lahore</v>
      </c>
      <c r="J543" s="9" t="str">
        <f>VLOOKUP(A543,Sheet9!$A:$F,5,FALSE)</f>
        <v>Punjab</v>
      </c>
      <c r="K543" s="9" t="str">
        <f>VLOOKUP(A543,Sheet9!$A:$F,6,FALSE)</f>
        <v>For Sale</v>
      </c>
      <c r="L543" s="9">
        <f t="shared" si="8"/>
        <v>2</v>
      </c>
    </row>
    <row r="544" spans="1:12" ht="15" thickBot="1">
      <c r="A544" s="31">
        <v>5958535</v>
      </c>
      <c r="B544" s="35">
        <v>1705</v>
      </c>
      <c r="C544" s="35" t="s">
        <v>154</v>
      </c>
      <c r="D544" s="35">
        <v>1</v>
      </c>
      <c r="E544" s="35">
        <v>1</v>
      </c>
      <c r="F544" s="36">
        <v>43635</v>
      </c>
      <c r="G544" s="9">
        <f>VLOOKUP(A544,Sheet9!$A:$F,2,FALSE)</f>
        <v>4800000</v>
      </c>
      <c r="H544" s="9" t="str">
        <f>VLOOKUP(A544,Sheet9!$A:$F,3,FALSE )</f>
        <v>Bahria Town</v>
      </c>
      <c r="I544" s="9" t="str">
        <f>VLOOKUP(A544,Sheet9!$A:$F,4,FALSE)</f>
        <v>Islamabad</v>
      </c>
      <c r="J544" s="9" t="str">
        <f>VLOOKUP(A544,Sheet9!$A:$F,5,FALSE)</f>
        <v>Islamabad Capital</v>
      </c>
      <c r="K544" s="9" t="str">
        <f>VLOOKUP(A544,Sheet9!$A:$F,6,FALSE)</f>
        <v>For Sale</v>
      </c>
      <c r="L544" s="9">
        <f t="shared" si="8"/>
        <v>3</v>
      </c>
    </row>
    <row r="545" spans="1:12" ht="29.5" thickBot="1">
      <c r="A545" s="31">
        <v>5967797</v>
      </c>
      <c r="B545" s="35">
        <v>3283</v>
      </c>
      <c r="C545" s="35" t="s">
        <v>155</v>
      </c>
      <c r="D545" s="35">
        <v>3</v>
      </c>
      <c r="E545" s="35">
        <v>3</v>
      </c>
      <c r="F545" s="36">
        <v>43590</v>
      </c>
      <c r="G545" s="9">
        <f>VLOOKUP(A545,Sheet9!$A:$F,2,FALSE)</f>
        <v>75000</v>
      </c>
      <c r="H545" s="9" t="str">
        <f>VLOOKUP(A545,Sheet9!$A:$F,3,FALSE )</f>
        <v>F-11</v>
      </c>
      <c r="I545" s="9" t="str">
        <f>VLOOKUP(A545,Sheet9!$A:$F,4,FALSE)</f>
        <v>Islamabad</v>
      </c>
      <c r="J545" s="9" t="str">
        <f>VLOOKUP(A545,Sheet9!$A:$F,5,FALSE)</f>
        <v>Islamabad Capital</v>
      </c>
      <c r="K545" s="9" t="str">
        <f>VLOOKUP(A545,Sheet9!$A:$F,6,FALSE)</f>
        <v>For Rent</v>
      </c>
      <c r="L545" s="9">
        <f t="shared" si="8"/>
        <v>3</v>
      </c>
    </row>
    <row r="546" spans="1:12" ht="15" thickBot="1">
      <c r="A546" s="31">
        <v>5973097</v>
      </c>
      <c r="B546" s="35">
        <v>6042</v>
      </c>
      <c r="C546" s="35" t="s">
        <v>153</v>
      </c>
      <c r="D546" s="35">
        <v>7</v>
      </c>
      <c r="E546" s="35">
        <v>7</v>
      </c>
      <c r="F546" s="36">
        <v>43647</v>
      </c>
      <c r="G546" s="9">
        <f>VLOOKUP(A546,Sheet9!$A:$F,2,FALSE)</f>
        <v>26500000</v>
      </c>
      <c r="H546" s="9" t="str">
        <f>VLOOKUP(A546,Sheet9!$A:$F,3,FALSE )</f>
        <v>Satellite Town</v>
      </c>
      <c r="I546" s="9" t="str">
        <f>VLOOKUP(A546,Sheet9!$A:$F,4,FALSE)</f>
        <v>Rawalpindi</v>
      </c>
      <c r="J546" s="9" t="str">
        <f>VLOOKUP(A546,Sheet9!$A:$F,5,FALSE)</f>
        <v>Punjab</v>
      </c>
      <c r="K546" s="9" t="str">
        <f>VLOOKUP(A546,Sheet9!$A:$F,6,FALSE)</f>
        <v>For Sale</v>
      </c>
      <c r="L546" s="9">
        <f t="shared" si="8"/>
        <v>2</v>
      </c>
    </row>
    <row r="547" spans="1:12" ht="15" thickBot="1">
      <c r="A547" s="31">
        <v>5974338</v>
      </c>
      <c r="B547" s="35">
        <v>1378</v>
      </c>
      <c r="C547" s="35" t="s">
        <v>153</v>
      </c>
      <c r="D547" s="35">
        <v>4</v>
      </c>
      <c r="E547" s="35">
        <v>4</v>
      </c>
      <c r="F547" s="36">
        <v>43590</v>
      </c>
      <c r="G547" s="9">
        <f>VLOOKUP(A547,Sheet9!$A:$F,2,FALSE)</f>
        <v>13000000</v>
      </c>
      <c r="H547" s="9" t="str">
        <f>VLOOKUP(A547,Sheet9!$A:$F,3,FALSE )</f>
        <v>Pakistan Town</v>
      </c>
      <c r="I547" s="9" t="str">
        <f>VLOOKUP(A547,Sheet9!$A:$F,4,FALSE)</f>
        <v>Islamabad</v>
      </c>
      <c r="J547" s="9" t="str">
        <f>VLOOKUP(A547,Sheet9!$A:$F,5,FALSE)</f>
        <v>Islamabad Capital</v>
      </c>
      <c r="K547" s="9" t="str">
        <f>VLOOKUP(A547,Sheet9!$A:$F,6,FALSE)</f>
        <v>For Sale</v>
      </c>
      <c r="L547" s="9">
        <f t="shared" si="8"/>
        <v>3</v>
      </c>
    </row>
    <row r="548" spans="1:12" ht="15" thickBot="1">
      <c r="A548" s="31">
        <v>5975093</v>
      </c>
      <c r="B548" s="35">
        <v>6705</v>
      </c>
      <c r="C548" s="35" t="s">
        <v>154</v>
      </c>
      <c r="D548" s="35">
        <v>2</v>
      </c>
      <c r="E548" s="35">
        <v>2</v>
      </c>
      <c r="F548" s="36">
        <v>43643</v>
      </c>
      <c r="G548" s="9">
        <f>VLOOKUP(A548,Sheet9!$A:$F,2,FALSE)</f>
        <v>9500</v>
      </c>
      <c r="H548" s="9" t="str">
        <f>VLOOKUP(A548,Sheet9!$A:$F,3,FALSE )</f>
        <v>Federal B Area</v>
      </c>
      <c r="I548" s="9" t="str">
        <f>VLOOKUP(A548,Sheet9!$A:$F,4,FALSE)</f>
        <v>Karachi</v>
      </c>
      <c r="J548" s="9" t="str">
        <f>VLOOKUP(A548,Sheet9!$A:$F,5,FALSE)</f>
        <v>Sindh</v>
      </c>
      <c r="K548" s="9" t="str">
        <f>VLOOKUP(A548,Sheet9!$A:$F,6,FALSE)</f>
        <v>For Rent</v>
      </c>
      <c r="L548" s="9">
        <f t="shared" si="8"/>
        <v>1</v>
      </c>
    </row>
    <row r="549" spans="1:12" ht="15" thickBot="1">
      <c r="A549" s="31">
        <v>6013436</v>
      </c>
      <c r="B549" s="35">
        <v>10721</v>
      </c>
      <c r="C549" s="35" t="s">
        <v>154</v>
      </c>
      <c r="D549" s="35">
        <v>4</v>
      </c>
      <c r="E549" s="35">
        <v>4</v>
      </c>
      <c r="F549" s="36">
        <v>43621</v>
      </c>
      <c r="G549" s="9">
        <f>VLOOKUP(A549,Sheet9!$A:$F,2,FALSE)</f>
        <v>72500000</v>
      </c>
      <c r="H549" s="9" t="str">
        <f>VLOOKUP(A549,Sheet9!$A:$F,3,FALSE )</f>
        <v>DHA Defence</v>
      </c>
      <c r="I549" s="9" t="str">
        <f>VLOOKUP(A549,Sheet9!$A:$F,4,FALSE)</f>
        <v>Karachi</v>
      </c>
      <c r="J549" s="9" t="str">
        <f>VLOOKUP(A549,Sheet9!$A:$F,5,FALSE)</f>
        <v>Sindh</v>
      </c>
      <c r="K549" s="9" t="str">
        <f>VLOOKUP(A549,Sheet9!$A:$F,6,FALSE)</f>
        <v>For Sale</v>
      </c>
      <c r="L549" s="9">
        <f t="shared" si="8"/>
        <v>1</v>
      </c>
    </row>
    <row r="550" spans="1:12" ht="15" thickBot="1">
      <c r="A550" s="31">
        <v>6017161</v>
      </c>
      <c r="B550" s="35">
        <v>1485</v>
      </c>
      <c r="C550" s="35" t="s">
        <v>154</v>
      </c>
      <c r="D550" s="35">
        <v>5</v>
      </c>
      <c r="E550" s="35">
        <v>4</v>
      </c>
      <c r="F550" s="36">
        <v>43646</v>
      </c>
      <c r="G550" s="9">
        <f>VLOOKUP(A550,Sheet9!$A:$F,2,FALSE)</f>
        <v>55000000</v>
      </c>
      <c r="H550" s="9" t="str">
        <f>VLOOKUP(A550,Sheet9!$A:$F,3,FALSE )</f>
        <v>DHA Defence</v>
      </c>
      <c r="I550" s="9" t="str">
        <f>VLOOKUP(A550,Sheet9!$A:$F,4,FALSE)</f>
        <v>Karachi</v>
      </c>
      <c r="J550" s="9" t="str">
        <f>VLOOKUP(A550,Sheet9!$A:$F,5,FALSE)</f>
        <v>Sindh</v>
      </c>
      <c r="K550" s="9" t="str">
        <f>VLOOKUP(A550,Sheet9!$A:$F,6,FALSE)</f>
        <v>For Sale</v>
      </c>
      <c r="L550" s="9">
        <f t="shared" si="8"/>
        <v>1</v>
      </c>
    </row>
    <row r="551" spans="1:12" ht="15" thickBot="1">
      <c r="A551" s="31">
        <v>6018018</v>
      </c>
      <c r="B551" s="35">
        <v>1479</v>
      </c>
      <c r="C551" s="35" t="s">
        <v>159</v>
      </c>
      <c r="D551" s="35">
        <v>3</v>
      </c>
      <c r="E551" s="35">
        <v>3</v>
      </c>
      <c r="F551" s="36">
        <v>43664</v>
      </c>
      <c r="G551" s="9">
        <f>VLOOKUP(A551,Sheet9!$A:$F,2,FALSE)</f>
        <v>50000</v>
      </c>
      <c r="H551" s="9" t="str">
        <f>VLOOKUP(A551,Sheet9!$A:$F,3,FALSE )</f>
        <v>DHA Defence</v>
      </c>
      <c r="I551" s="9" t="str">
        <f>VLOOKUP(A551,Sheet9!$A:$F,4,FALSE)</f>
        <v>Karachi</v>
      </c>
      <c r="J551" s="9" t="str">
        <f>VLOOKUP(A551,Sheet9!$A:$F,5,FALSE)</f>
        <v>Sindh</v>
      </c>
      <c r="K551" s="9" t="str">
        <f>VLOOKUP(A551,Sheet9!$A:$F,6,FALSE)</f>
        <v>For Rent</v>
      </c>
      <c r="L551" s="9">
        <f t="shared" si="8"/>
        <v>1</v>
      </c>
    </row>
    <row r="552" spans="1:12" ht="15" thickBot="1">
      <c r="A552" s="31">
        <v>6020857</v>
      </c>
      <c r="B552" s="35">
        <v>11832</v>
      </c>
      <c r="C552" s="35" t="s">
        <v>154</v>
      </c>
      <c r="D552" s="35">
        <v>2</v>
      </c>
      <c r="E552" s="35">
        <v>2</v>
      </c>
      <c r="F552" s="36">
        <v>43530</v>
      </c>
      <c r="G552" s="9">
        <f>VLOOKUP(A552,Sheet9!$A:$F,2,FALSE)</f>
        <v>12500000</v>
      </c>
      <c r="H552" s="9" t="str">
        <f>VLOOKUP(A552,Sheet9!$A:$F,3,FALSE )</f>
        <v>Gulberg</v>
      </c>
      <c r="I552" s="9" t="str">
        <f>VLOOKUP(A552,Sheet9!$A:$F,4,FALSE)</f>
        <v>Islamabad</v>
      </c>
      <c r="J552" s="9" t="str">
        <f>VLOOKUP(A552,Sheet9!$A:$F,5,FALSE)</f>
        <v>Islamabad Capital</v>
      </c>
      <c r="K552" s="9" t="str">
        <f>VLOOKUP(A552,Sheet9!$A:$F,6,FALSE)</f>
        <v>For Sale</v>
      </c>
      <c r="L552" s="9">
        <f t="shared" si="8"/>
        <v>3</v>
      </c>
    </row>
    <row r="553" spans="1:12" ht="15" thickBot="1">
      <c r="A553" s="31">
        <v>6024787</v>
      </c>
      <c r="B553" s="35">
        <v>3041</v>
      </c>
      <c r="C553" s="35" t="s">
        <v>153</v>
      </c>
      <c r="D553" s="35">
        <v>8</v>
      </c>
      <c r="E553" s="35">
        <v>6</v>
      </c>
      <c r="F553" s="36">
        <v>43590</v>
      </c>
      <c r="G553" s="9">
        <f>VLOOKUP(A553,Sheet9!$A:$F,2,FALSE)</f>
        <v>40000000</v>
      </c>
      <c r="H553" s="9" t="str">
        <f>VLOOKUP(A553,Sheet9!$A:$F,3,FALSE )</f>
        <v>Bahria Town Rawalpindi</v>
      </c>
      <c r="I553" s="9" t="str">
        <f>VLOOKUP(A553,Sheet9!$A:$F,4,FALSE)</f>
        <v>Rawalpindi</v>
      </c>
      <c r="J553" s="9" t="str">
        <f>VLOOKUP(A553,Sheet9!$A:$F,5,FALSE)</f>
        <v>Punjab</v>
      </c>
      <c r="K553" s="9" t="str">
        <f>VLOOKUP(A553,Sheet9!$A:$F,6,FALSE)</f>
        <v>For Sale</v>
      </c>
      <c r="L553" s="9">
        <f t="shared" si="8"/>
        <v>2</v>
      </c>
    </row>
    <row r="554" spans="1:12" ht="15" thickBot="1">
      <c r="A554" s="31">
        <v>6025903</v>
      </c>
      <c r="B554" s="35">
        <v>634</v>
      </c>
      <c r="C554" s="35" t="s">
        <v>153</v>
      </c>
      <c r="D554" s="35">
        <v>0</v>
      </c>
      <c r="E554" s="35">
        <v>0</v>
      </c>
      <c r="F554" s="36">
        <v>43558</v>
      </c>
      <c r="G554" s="9">
        <f>VLOOKUP(A554,Sheet9!$A:$F,2,FALSE)</f>
        <v>50000000</v>
      </c>
      <c r="H554" s="9" t="str">
        <f>VLOOKUP(A554,Sheet9!$A:$F,3,FALSE )</f>
        <v>Wahdat Road</v>
      </c>
      <c r="I554" s="9" t="str">
        <f>VLOOKUP(A554,Sheet9!$A:$F,4,FALSE)</f>
        <v>Lahore</v>
      </c>
      <c r="J554" s="9" t="str">
        <f>VLOOKUP(A554,Sheet9!$A:$F,5,FALSE)</f>
        <v>Punjab</v>
      </c>
      <c r="K554" s="9" t="str">
        <f>VLOOKUP(A554,Sheet9!$A:$F,6,FALSE)</f>
        <v>For Sale</v>
      </c>
      <c r="L554" s="9">
        <f t="shared" si="8"/>
        <v>2</v>
      </c>
    </row>
    <row r="555" spans="1:12" ht="15" thickBot="1">
      <c r="A555" s="31">
        <v>6049972</v>
      </c>
      <c r="B555" s="35">
        <v>1410</v>
      </c>
      <c r="C555" s="35" t="s">
        <v>153</v>
      </c>
      <c r="D555" s="35">
        <v>4</v>
      </c>
      <c r="E555" s="35">
        <v>4</v>
      </c>
      <c r="F555" s="36">
        <v>43649</v>
      </c>
      <c r="G555" s="9">
        <f>VLOOKUP(A555,Sheet9!$A:$F,2,FALSE)</f>
        <v>10900000</v>
      </c>
      <c r="H555" s="9" t="str">
        <f>VLOOKUP(A555,Sheet9!$A:$F,3,FALSE )</f>
        <v>DHA 11 Rahbar</v>
      </c>
      <c r="I555" s="9" t="str">
        <f>VLOOKUP(A555,Sheet9!$A:$F,4,FALSE)</f>
        <v>Lahore</v>
      </c>
      <c r="J555" s="9" t="str">
        <f>VLOOKUP(A555,Sheet9!$A:$F,5,FALSE)</f>
        <v>Punjab</v>
      </c>
      <c r="K555" s="9" t="str">
        <f>VLOOKUP(A555,Sheet9!$A:$F,6,FALSE)</f>
        <v>For Sale</v>
      </c>
      <c r="L555" s="9">
        <f t="shared" si="8"/>
        <v>2</v>
      </c>
    </row>
    <row r="556" spans="1:12" ht="15" thickBot="1">
      <c r="A556" s="31">
        <v>6062641</v>
      </c>
      <c r="B556" s="35">
        <v>3035</v>
      </c>
      <c r="C556" s="35" t="s">
        <v>153</v>
      </c>
      <c r="D556" s="35">
        <v>8</v>
      </c>
      <c r="E556" s="35">
        <v>6</v>
      </c>
      <c r="F556" s="36">
        <v>43500</v>
      </c>
      <c r="G556" s="9">
        <f>VLOOKUP(A556,Sheet9!$A:$F,2,FALSE)</f>
        <v>43000000</v>
      </c>
      <c r="H556" s="9" t="str">
        <f>VLOOKUP(A556,Sheet9!$A:$F,3,FALSE )</f>
        <v>Bahria Town Rawalpindi</v>
      </c>
      <c r="I556" s="9" t="str">
        <f>VLOOKUP(A556,Sheet9!$A:$F,4,FALSE)</f>
        <v>Rawalpindi</v>
      </c>
      <c r="J556" s="9" t="str">
        <f>VLOOKUP(A556,Sheet9!$A:$F,5,FALSE)</f>
        <v>Punjab</v>
      </c>
      <c r="K556" s="9" t="str">
        <f>VLOOKUP(A556,Sheet9!$A:$F,6,FALSE)</f>
        <v>For Sale</v>
      </c>
      <c r="L556" s="9">
        <f t="shared" si="8"/>
        <v>2</v>
      </c>
    </row>
    <row r="557" spans="1:12" ht="15" thickBot="1">
      <c r="A557" s="31">
        <v>6063561</v>
      </c>
      <c r="B557" s="35">
        <v>4391</v>
      </c>
      <c r="C557" s="35" t="s">
        <v>153</v>
      </c>
      <c r="D557" s="35">
        <v>4</v>
      </c>
      <c r="E557" s="35">
        <v>3</v>
      </c>
      <c r="F557" s="36">
        <v>43620</v>
      </c>
      <c r="G557" s="9">
        <f>VLOOKUP(A557,Sheet9!$A:$F,2,FALSE)</f>
        <v>5600000</v>
      </c>
      <c r="H557" s="9" t="str">
        <f>VLOOKUP(A557,Sheet9!$A:$F,3,FALSE )</f>
        <v>Shershah Colony - Raiwind Road</v>
      </c>
      <c r="I557" s="9" t="str">
        <f>VLOOKUP(A557,Sheet9!$A:$F,4,FALSE)</f>
        <v>Lahore</v>
      </c>
      <c r="J557" s="9" t="str">
        <f>VLOOKUP(A557,Sheet9!$A:$F,5,FALSE)</f>
        <v>Punjab</v>
      </c>
      <c r="K557" s="9" t="str">
        <f>VLOOKUP(A557,Sheet9!$A:$F,6,FALSE)</f>
        <v>For Sale</v>
      </c>
      <c r="L557" s="9">
        <f t="shared" si="8"/>
        <v>2</v>
      </c>
    </row>
    <row r="558" spans="1:12" ht="15" thickBot="1">
      <c r="A558" s="31">
        <v>6071935</v>
      </c>
      <c r="B558" s="35">
        <v>3036</v>
      </c>
      <c r="C558" s="35" t="s">
        <v>153</v>
      </c>
      <c r="D558" s="35">
        <v>8</v>
      </c>
      <c r="E558" s="35">
        <v>7</v>
      </c>
      <c r="F558" s="36">
        <v>43651</v>
      </c>
      <c r="G558" s="9">
        <f>VLOOKUP(A558,Sheet9!$A:$F,2,FALSE)</f>
        <v>41000000</v>
      </c>
      <c r="H558" s="9" t="str">
        <f>VLOOKUP(A558,Sheet9!$A:$F,3,FALSE )</f>
        <v>Bahria Town Rawalpindi</v>
      </c>
      <c r="I558" s="9" t="str">
        <f>VLOOKUP(A558,Sheet9!$A:$F,4,FALSE)</f>
        <v>Rawalpindi</v>
      </c>
      <c r="J558" s="9" t="str">
        <f>VLOOKUP(A558,Sheet9!$A:$F,5,FALSE)</f>
        <v>Punjab</v>
      </c>
      <c r="K558" s="9" t="str">
        <f>VLOOKUP(A558,Sheet9!$A:$F,6,FALSE)</f>
        <v>For Sale</v>
      </c>
      <c r="L558" s="9">
        <f t="shared" si="8"/>
        <v>2</v>
      </c>
    </row>
    <row r="559" spans="1:12" ht="15" thickBot="1">
      <c r="A559" s="31">
        <v>6073476</v>
      </c>
      <c r="B559" s="35">
        <v>1504</v>
      </c>
      <c r="C559" s="35" t="s">
        <v>154</v>
      </c>
      <c r="D559" s="35">
        <v>4</v>
      </c>
      <c r="E559" s="35">
        <v>3</v>
      </c>
      <c r="F559" s="36">
        <v>43648</v>
      </c>
      <c r="G559" s="9">
        <f>VLOOKUP(A559,Sheet9!$A:$F,2,FALSE)</f>
        <v>11000000</v>
      </c>
      <c r="H559" s="9" t="str">
        <f>VLOOKUP(A559,Sheet9!$A:$F,3,FALSE )</f>
        <v>Askari 14</v>
      </c>
      <c r="I559" s="9" t="str">
        <f>VLOOKUP(A559,Sheet9!$A:$F,4,FALSE)</f>
        <v>Rawalpindi</v>
      </c>
      <c r="J559" s="9" t="str">
        <f>VLOOKUP(A559,Sheet9!$A:$F,5,FALSE)</f>
        <v>Punjab</v>
      </c>
      <c r="K559" s="9" t="str">
        <f>VLOOKUP(A559,Sheet9!$A:$F,6,FALSE)</f>
        <v>For Sale</v>
      </c>
      <c r="L559" s="9">
        <f t="shared" si="8"/>
        <v>2</v>
      </c>
    </row>
    <row r="560" spans="1:12" ht="15" thickBot="1">
      <c r="A560" s="31">
        <v>6091051</v>
      </c>
      <c r="B560" s="35">
        <v>3035</v>
      </c>
      <c r="C560" s="35" t="s">
        <v>153</v>
      </c>
      <c r="D560" s="35">
        <v>8</v>
      </c>
      <c r="E560" s="35">
        <v>6</v>
      </c>
      <c r="F560" s="36">
        <v>43646</v>
      </c>
      <c r="G560" s="9">
        <f>VLOOKUP(A560,Sheet9!$A:$F,2,FALSE)</f>
        <v>51500000</v>
      </c>
      <c r="H560" s="9" t="str">
        <f>VLOOKUP(A560,Sheet9!$A:$F,3,FALSE )</f>
        <v>Bahria Town Rawalpindi</v>
      </c>
      <c r="I560" s="9" t="str">
        <f>VLOOKUP(A560,Sheet9!$A:$F,4,FALSE)</f>
        <v>Rawalpindi</v>
      </c>
      <c r="J560" s="9" t="str">
        <f>VLOOKUP(A560,Sheet9!$A:$F,5,FALSE)</f>
        <v>Punjab</v>
      </c>
      <c r="K560" s="9" t="str">
        <f>VLOOKUP(A560,Sheet9!$A:$F,6,FALSE)</f>
        <v>For Sale</v>
      </c>
      <c r="L560" s="9">
        <f t="shared" si="8"/>
        <v>2</v>
      </c>
    </row>
    <row r="561" spans="1:12" ht="15" thickBot="1">
      <c r="A561" s="31">
        <v>6091449</v>
      </c>
      <c r="B561" s="35">
        <v>3041</v>
      </c>
      <c r="C561" s="35" t="s">
        <v>153</v>
      </c>
      <c r="D561" s="35">
        <v>7</v>
      </c>
      <c r="E561" s="35">
        <v>5</v>
      </c>
      <c r="F561" s="36">
        <v>43649</v>
      </c>
      <c r="G561" s="9">
        <f>VLOOKUP(A561,Sheet9!$A:$F,2,FALSE)</f>
        <v>47000000</v>
      </c>
      <c r="H561" s="9" t="str">
        <f>VLOOKUP(A561,Sheet9!$A:$F,3,FALSE )</f>
        <v>Bahria Town Rawalpindi</v>
      </c>
      <c r="I561" s="9" t="str">
        <f>VLOOKUP(A561,Sheet9!$A:$F,4,FALSE)</f>
        <v>Rawalpindi</v>
      </c>
      <c r="J561" s="9" t="str">
        <f>VLOOKUP(A561,Sheet9!$A:$F,5,FALSE)</f>
        <v>Punjab</v>
      </c>
      <c r="K561" s="9" t="str">
        <f>VLOOKUP(A561,Sheet9!$A:$F,6,FALSE)</f>
        <v>For Sale</v>
      </c>
      <c r="L561" s="9">
        <f t="shared" si="8"/>
        <v>2</v>
      </c>
    </row>
    <row r="562" spans="1:12" ht="15" thickBot="1">
      <c r="A562" s="31">
        <v>6092244</v>
      </c>
      <c r="B562" s="35">
        <v>3046</v>
      </c>
      <c r="C562" s="35" t="s">
        <v>153</v>
      </c>
      <c r="D562" s="35">
        <v>8</v>
      </c>
      <c r="E562" s="35">
        <v>7</v>
      </c>
      <c r="F562" s="36">
        <v>43629</v>
      </c>
      <c r="G562" s="9">
        <f>VLOOKUP(A562,Sheet9!$A:$F,2,FALSE)</f>
        <v>42500000</v>
      </c>
      <c r="H562" s="9" t="str">
        <f>VLOOKUP(A562,Sheet9!$A:$F,3,FALSE )</f>
        <v>Bahria Town Rawalpindi</v>
      </c>
      <c r="I562" s="9" t="str">
        <f>VLOOKUP(A562,Sheet9!$A:$F,4,FALSE)</f>
        <v>Rawalpindi</v>
      </c>
      <c r="J562" s="9" t="str">
        <f>VLOOKUP(A562,Sheet9!$A:$F,5,FALSE)</f>
        <v>Punjab</v>
      </c>
      <c r="K562" s="9" t="str">
        <f>VLOOKUP(A562,Sheet9!$A:$F,6,FALSE)</f>
        <v>For Sale</v>
      </c>
      <c r="L562" s="9">
        <f t="shared" si="8"/>
        <v>2</v>
      </c>
    </row>
    <row r="563" spans="1:12" ht="15" thickBot="1">
      <c r="A563" s="31">
        <v>6094363</v>
      </c>
      <c r="B563" s="35">
        <v>10643</v>
      </c>
      <c r="C563" s="35" t="s">
        <v>153</v>
      </c>
      <c r="D563" s="35">
        <v>5</v>
      </c>
      <c r="E563" s="35">
        <v>5</v>
      </c>
      <c r="F563" s="36">
        <v>43629</v>
      </c>
      <c r="G563" s="9">
        <f>VLOOKUP(A563,Sheet9!$A:$F,2,FALSE)</f>
        <v>13000000</v>
      </c>
      <c r="H563" s="9" t="str">
        <f>VLOOKUP(A563,Sheet9!$A:$F,3,FALSE )</f>
        <v>Al-Noor Colony</v>
      </c>
      <c r="I563" s="9" t="str">
        <f>VLOOKUP(A563,Sheet9!$A:$F,4,FALSE)</f>
        <v>Rawalpindi</v>
      </c>
      <c r="J563" s="9" t="str">
        <f>VLOOKUP(A563,Sheet9!$A:$F,5,FALSE)</f>
        <v>Punjab</v>
      </c>
      <c r="K563" s="9" t="str">
        <f>VLOOKUP(A563,Sheet9!$A:$F,6,FALSE)</f>
        <v>For Sale</v>
      </c>
      <c r="L563" s="9">
        <f t="shared" si="8"/>
        <v>2</v>
      </c>
    </row>
    <row r="564" spans="1:12" ht="15" thickBot="1">
      <c r="A564" s="31">
        <v>6101823</v>
      </c>
      <c r="B564" s="35">
        <v>5075</v>
      </c>
      <c r="C564" s="35" t="s">
        <v>153</v>
      </c>
      <c r="D564" s="35">
        <v>5</v>
      </c>
      <c r="E564" s="35">
        <v>4</v>
      </c>
      <c r="F564" s="36">
        <v>43649</v>
      </c>
      <c r="G564" s="9">
        <f>VLOOKUP(A564,Sheet9!$A:$F,2,FALSE)</f>
        <v>12500000</v>
      </c>
      <c r="H564" s="9" t="str">
        <f>VLOOKUP(A564,Sheet9!$A:$F,3,FALSE )</f>
        <v>Wapda City</v>
      </c>
      <c r="I564" s="9" t="str">
        <f>VLOOKUP(A564,Sheet9!$A:$F,4,FALSE)</f>
        <v>Faisalabad</v>
      </c>
      <c r="J564" s="9" t="str">
        <f>VLOOKUP(A564,Sheet9!$A:$F,5,FALSE)</f>
        <v>Punjab</v>
      </c>
      <c r="K564" s="9" t="str">
        <f>VLOOKUP(A564,Sheet9!$A:$F,6,FALSE)</f>
        <v>For Sale</v>
      </c>
      <c r="L564" s="9">
        <f t="shared" si="8"/>
        <v>2</v>
      </c>
    </row>
    <row r="565" spans="1:12" ht="29.5" thickBot="1">
      <c r="A565" s="31">
        <v>6106323</v>
      </c>
      <c r="B565" s="35">
        <v>9582</v>
      </c>
      <c r="C565" s="35" t="s">
        <v>155</v>
      </c>
      <c r="D565" s="35">
        <v>2</v>
      </c>
      <c r="E565" s="35">
        <v>2</v>
      </c>
      <c r="F565" s="36">
        <v>43636</v>
      </c>
      <c r="G565" s="9">
        <f>VLOOKUP(A565,Sheet9!$A:$F,2,FALSE)</f>
        <v>45000</v>
      </c>
      <c r="H565" s="9" t="str">
        <f>VLOOKUP(A565,Sheet9!$A:$F,3,FALSE )</f>
        <v>Malir</v>
      </c>
      <c r="I565" s="9" t="str">
        <f>VLOOKUP(A565,Sheet9!$A:$F,4,FALSE)</f>
        <v>Karachi</v>
      </c>
      <c r="J565" s="9" t="str">
        <f>VLOOKUP(A565,Sheet9!$A:$F,5,FALSE)</f>
        <v>Sindh</v>
      </c>
      <c r="K565" s="9" t="str">
        <f>VLOOKUP(A565,Sheet9!$A:$F,6,FALSE)</f>
        <v>For Rent</v>
      </c>
      <c r="L565" s="9">
        <f t="shared" si="8"/>
        <v>1</v>
      </c>
    </row>
    <row r="566" spans="1:12" ht="15" thickBot="1">
      <c r="A566" s="31">
        <v>6125547</v>
      </c>
      <c r="B566" s="35">
        <v>7188</v>
      </c>
      <c r="C566" s="35" t="s">
        <v>153</v>
      </c>
      <c r="D566" s="35">
        <v>3</v>
      </c>
      <c r="E566" s="35">
        <v>3</v>
      </c>
      <c r="F566" s="36">
        <v>43623</v>
      </c>
      <c r="G566" s="9">
        <f>VLOOKUP(A566,Sheet9!$A:$F,2,FALSE)</f>
        <v>7000000</v>
      </c>
      <c r="H566" s="9" t="str">
        <f>VLOOKUP(A566,Sheet9!$A:$F,3,FALSE )</f>
        <v>North Karachi</v>
      </c>
      <c r="I566" s="9" t="str">
        <f>VLOOKUP(A566,Sheet9!$A:$F,4,FALSE)</f>
        <v>Karachi</v>
      </c>
      <c r="J566" s="9" t="str">
        <f>VLOOKUP(A566,Sheet9!$A:$F,5,FALSE)</f>
        <v>Sindh</v>
      </c>
      <c r="K566" s="9" t="str">
        <f>VLOOKUP(A566,Sheet9!$A:$F,6,FALSE)</f>
        <v>For Sale</v>
      </c>
      <c r="L566" s="9">
        <f t="shared" si="8"/>
        <v>1</v>
      </c>
    </row>
    <row r="567" spans="1:12" ht="15" thickBot="1">
      <c r="A567" s="31">
        <v>6128134</v>
      </c>
      <c r="B567" s="35">
        <v>1664</v>
      </c>
      <c r="C567" s="35" t="s">
        <v>154</v>
      </c>
      <c r="D567" s="35">
        <v>4</v>
      </c>
      <c r="E567" s="35">
        <v>3</v>
      </c>
      <c r="F567" s="36">
        <v>43649</v>
      </c>
      <c r="G567" s="9">
        <f>VLOOKUP(A567,Sheet9!$A:$F,2,FALSE)</f>
        <v>325000</v>
      </c>
      <c r="H567" s="9" t="str">
        <f>VLOOKUP(A567,Sheet9!$A:$F,3,FALSE )</f>
        <v>Clifton</v>
      </c>
      <c r="I567" s="9" t="str">
        <f>VLOOKUP(A567,Sheet9!$A:$F,4,FALSE)</f>
        <v>Karachi</v>
      </c>
      <c r="J567" s="9" t="str">
        <f>VLOOKUP(A567,Sheet9!$A:$F,5,FALSE)</f>
        <v>Sindh</v>
      </c>
      <c r="K567" s="9" t="str">
        <f>VLOOKUP(A567,Sheet9!$A:$F,6,FALSE)</f>
        <v>For Rent</v>
      </c>
      <c r="L567" s="9">
        <f t="shared" si="8"/>
        <v>1</v>
      </c>
    </row>
    <row r="568" spans="1:12" ht="15" thickBot="1">
      <c r="A568" s="31">
        <v>6130387</v>
      </c>
      <c r="B568" s="35">
        <v>163</v>
      </c>
      <c r="C568" s="35" t="s">
        <v>154</v>
      </c>
      <c r="D568" s="35">
        <v>0</v>
      </c>
      <c r="E568" s="35">
        <v>2</v>
      </c>
      <c r="F568" s="36">
        <v>43629</v>
      </c>
      <c r="G568" s="9">
        <f>VLOOKUP(A568,Sheet9!$A:$F,2,FALSE)</f>
        <v>60000</v>
      </c>
      <c r="H568" s="9" t="str">
        <f>VLOOKUP(A568,Sheet9!$A:$F,3,FALSE )</f>
        <v>F-11</v>
      </c>
      <c r="I568" s="9" t="str">
        <f>VLOOKUP(A568,Sheet9!$A:$F,4,FALSE)</f>
        <v>Islamabad</v>
      </c>
      <c r="J568" s="9" t="str">
        <f>VLOOKUP(A568,Sheet9!$A:$F,5,FALSE)</f>
        <v>Islamabad Capital</v>
      </c>
      <c r="K568" s="9" t="str">
        <f>VLOOKUP(A568,Sheet9!$A:$F,6,FALSE)</f>
        <v>For Rent</v>
      </c>
      <c r="L568" s="9">
        <f t="shared" si="8"/>
        <v>3</v>
      </c>
    </row>
    <row r="569" spans="1:12" ht="15" thickBot="1">
      <c r="A569" s="31">
        <v>6132587</v>
      </c>
      <c r="B569" s="35">
        <v>429</v>
      </c>
      <c r="C569" s="35" t="s">
        <v>154</v>
      </c>
      <c r="D569" s="35">
        <v>2</v>
      </c>
      <c r="E569" s="35">
        <v>3</v>
      </c>
      <c r="F569" s="36">
        <v>43500</v>
      </c>
      <c r="G569" s="9">
        <f>VLOOKUP(A569,Sheet9!$A:$F,2,FALSE)</f>
        <v>48000000</v>
      </c>
      <c r="H569" s="9" t="str">
        <f>VLOOKUP(A569,Sheet9!$A:$F,3,FALSE )</f>
        <v>Diplomatic Enclave</v>
      </c>
      <c r="I569" s="9" t="str">
        <f>VLOOKUP(A569,Sheet9!$A:$F,4,FALSE)</f>
        <v>Islamabad</v>
      </c>
      <c r="J569" s="9" t="str">
        <f>VLOOKUP(A569,Sheet9!$A:$F,5,FALSE)</f>
        <v>Islamabad Capital</v>
      </c>
      <c r="K569" s="9" t="str">
        <f>VLOOKUP(A569,Sheet9!$A:$F,6,FALSE)</f>
        <v>For Sale</v>
      </c>
      <c r="L569" s="9">
        <f t="shared" si="8"/>
        <v>3</v>
      </c>
    </row>
    <row r="570" spans="1:12" ht="15" thickBot="1">
      <c r="A570" s="31">
        <v>6142531</v>
      </c>
      <c r="B570" s="35">
        <v>162</v>
      </c>
      <c r="C570" s="35" t="s">
        <v>153</v>
      </c>
      <c r="D570" s="35">
        <v>6</v>
      </c>
      <c r="E570" s="35">
        <v>5</v>
      </c>
      <c r="F570" s="36">
        <v>43590</v>
      </c>
      <c r="G570" s="9">
        <f>VLOOKUP(A570,Sheet9!$A:$F,2,FALSE)</f>
        <v>180000</v>
      </c>
      <c r="H570" s="9" t="str">
        <f>VLOOKUP(A570,Sheet9!$A:$F,3,FALSE )</f>
        <v>F-10</v>
      </c>
      <c r="I570" s="9" t="str">
        <f>VLOOKUP(A570,Sheet9!$A:$F,4,FALSE)</f>
        <v>Islamabad</v>
      </c>
      <c r="J570" s="9" t="str">
        <f>VLOOKUP(A570,Sheet9!$A:$F,5,FALSE)</f>
        <v>Islamabad Capital</v>
      </c>
      <c r="K570" s="9" t="str">
        <f>VLOOKUP(A570,Sheet9!$A:$F,6,FALSE)</f>
        <v>For Rent</v>
      </c>
      <c r="L570" s="9">
        <f t="shared" si="8"/>
        <v>3</v>
      </c>
    </row>
    <row r="571" spans="1:12" ht="15" thickBot="1">
      <c r="A571" s="31">
        <v>6155378</v>
      </c>
      <c r="B571" s="35">
        <v>3153</v>
      </c>
      <c r="C571" s="35" t="s">
        <v>153</v>
      </c>
      <c r="D571" s="35">
        <v>4</v>
      </c>
      <c r="E571" s="35">
        <v>4</v>
      </c>
      <c r="F571" s="36">
        <v>43590</v>
      </c>
      <c r="G571" s="9">
        <f>VLOOKUP(A571,Sheet9!$A:$F,2,FALSE)</f>
        <v>9000000</v>
      </c>
      <c r="H571" s="9" t="str">
        <f>VLOOKUP(A571,Sheet9!$A:$F,3,FALSE )</f>
        <v>Chatha Bakhtawar</v>
      </c>
      <c r="I571" s="9" t="str">
        <f>VLOOKUP(A571,Sheet9!$A:$F,4,FALSE)</f>
        <v>Islamabad</v>
      </c>
      <c r="J571" s="9" t="str">
        <f>VLOOKUP(A571,Sheet9!$A:$F,5,FALSE)</f>
        <v>Islamabad Capital</v>
      </c>
      <c r="K571" s="9" t="str">
        <f>VLOOKUP(A571,Sheet9!$A:$F,6,FALSE)</f>
        <v>For Sale</v>
      </c>
      <c r="L571" s="9">
        <f t="shared" si="8"/>
        <v>3</v>
      </c>
    </row>
    <row r="572" spans="1:12" ht="15" thickBot="1">
      <c r="A572" s="31">
        <v>6155664</v>
      </c>
      <c r="B572" s="35">
        <v>11088</v>
      </c>
      <c r="C572" s="35" t="s">
        <v>153</v>
      </c>
      <c r="D572" s="35">
        <v>5</v>
      </c>
      <c r="E572" s="35">
        <v>5</v>
      </c>
      <c r="F572" s="36">
        <v>43604</v>
      </c>
      <c r="G572" s="9">
        <f>VLOOKUP(A572,Sheet9!$A:$F,2,FALSE)</f>
        <v>190000</v>
      </c>
      <c r="H572" s="9" t="str">
        <f>VLOOKUP(A572,Sheet9!$A:$F,3,FALSE )</f>
        <v>Falcon Complex Faisal</v>
      </c>
      <c r="I572" s="9" t="str">
        <f>VLOOKUP(A572,Sheet9!$A:$F,4,FALSE)</f>
        <v>Karachi</v>
      </c>
      <c r="J572" s="9" t="str">
        <f>VLOOKUP(A572,Sheet9!$A:$F,5,FALSE)</f>
        <v>Sindh</v>
      </c>
      <c r="K572" s="9" t="str">
        <f>VLOOKUP(A572,Sheet9!$A:$F,6,FALSE)</f>
        <v>For Rent</v>
      </c>
      <c r="L572" s="9">
        <f t="shared" si="8"/>
        <v>1</v>
      </c>
    </row>
    <row r="573" spans="1:12" ht="15" thickBot="1">
      <c r="A573" s="31">
        <v>6156499</v>
      </c>
      <c r="B573" s="35">
        <v>1664</v>
      </c>
      <c r="C573" s="35" t="s">
        <v>154</v>
      </c>
      <c r="D573" s="35">
        <v>3</v>
      </c>
      <c r="E573" s="35">
        <v>3</v>
      </c>
      <c r="F573" s="36">
        <v>43645</v>
      </c>
      <c r="G573" s="9">
        <f>VLOOKUP(A573,Sheet9!$A:$F,2,FALSE)</f>
        <v>17000000</v>
      </c>
      <c r="H573" s="9" t="str">
        <f>VLOOKUP(A573,Sheet9!$A:$F,3,FALSE )</f>
        <v>Clifton</v>
      </c>
      <c r="I573" s="9" t="str">
        <f>VLOOKUP(A573,Sheet9!$A:$F,4,FALSE)</f>
        <v>Karachi</v>
      </c>
      <c r="J573" s="9" t="str">
        <f>VLOOKUP(A573,Sheet9!$A:$F,5,FALSE)</f>
        <v>Sindh</v>
      </c>
      <c r="K573" s="9" t="str">
        <f>VLOOKUP(A573,Sheet9!$A:$F,6,FALSE)</f>
        <v>For Sale</v>
      </c>
      <c r="L573" s="9">
        <f t="shared" si="8"/>
        <v>1</v>
      </c>
    </row>
    <row r="574" spans="1:12" ht="15" thickBot="1">
      <c r="A574" s="31">
        <v>6187227</v>
      </c>
      <c r="B574" s="35">
        <v>7118</v>
      </c>
      <c r="C574" s="35" t="s">
        <v>154</v>
      </c>
      <c r="D574" s="35">
        <v>2</v>
      </c>
      <c r="E574" s="35">
        <v>2</v>
      </c>
      <c r="F574" s="36">
        <v>43513</v>
      </c>
      <c r="G574" s="9">
        <f>VLOOKUP(A574,Sheet9!$A:$F,2,FALSE)</f>
        <v>1700000</v>
      </c>
      <c r="H574" s="9" t="str">
        <f>VLOOKUP(A574,Sheet9!$A:$F,3,FALSE )</f>
        <v>Lyari Town</v>
      </c>
      <c r="I574" s="9" t="str">
        <f>VLOOKUP(A574,Sheet9!$A:$F,4,FALSE)</f>
        <v>Karachi</v>
      </c>
      <c r="J574" s="9" t="str">
        <f>VLOOKUP(A574,Sheet9!$A:$F,5,FALSE)</f>
        <v>Sindh</v>
      </c>
      <c r="K574" s="9" t="str">
        <f>VLOOKUP(A574,Sheet9!$A:$F,6,FALSE)</f>
        <v>For Sale</v>
      </c>
      <c r="L574" s="9">
        <f t="shared" si="8"/>
        <v>1</v>
      </c>
    </row>
    <row r="575" spans="1:12" ht="15" thickBot="1">
      <c r="A575" s="31">
        <v>6211219</v>
      </c>
      <c r="B575" s="35">
        <v>3333</v>
      </c>
      <c r="C575" s="35" t="s">
        <v>153</v>
      </c>
      <c r="D575" s="35">
        <v>6</v>
      </c>
      <c r="E575" s="35">
        <v>6</v>
      </c>
      <c r="F575" s="36">
        <v>43645</v>
      </c>
      <c r="G575" s="9">
        <f>VLOOKUP(A575,Sheet9!$A:$F,2,FALSE)</f>
        <v>65000000</v>
      </c>
      <c r="H575" s="9" t="str">
        <f>VLOOKUP(A575,Sheet9!$A:$F,3,FALSE )</f>
        <v>G-11</v>
      </c>
      <c r="I575" s="9" t="str">
        <f>VLOOKUP(A575,Sheet9!$A:$F,4,FALSE)</f>
        <v>Islamabad</v>
      </c>
      <c r="J575" s="9" t="str">
        <f>VLOOKUP(A575,Sheet9!$A:$F,5,FALSE)</f>
        <v>Islamabad Capital</v>
      </c>
      <c r="K575" s="9" t="str">
        <f>VLOOKUP(A575,Sheet9!$A:$F,6,FALSE)</f>
        <v>For Sale</v>
      </c>
      <c r="L575" s="9">
        <f t="shared" si="8"/>
        <v>3</v>
      </c>
    </row>
    <row r="576" spans="1:12" ht="15" thickBot="1">
      <c r="A576" s="31">
        <v>6214648</v>
      </c>
      <c r="B576" s="35">
        <v>403</v>
      </c>
      <c r="C576" s="35" t="s">
        <v>153</v>
      </c>
      <c r="D576" s="35">
        <v>5</v>
      </c>
      <c r="E576" s="35">
        <v>4</v>
      </c>
      <c r="F576" s="36">
        <v>43604</v>
      </c>
      <c r="G576" s="9">
        <f>VLOOKUP(A576,Sheet9!$A:$F,2,FALSE)</f>
        <v>200000</v>
      </c>
      <c r="H576" s="9" t="str">
        <f>VLOOKUP(A576,Sheet9!$A:$F,3,FALSE )</f>
        <v>Jamshed Town</v>
      </c>
      <c r="I576" s="9" t="str">
        <f>VLOOKUP(A576,Sheet9!$A:$F,4,FALSE)</f>
        <v>Karachi</v>
      </c>
      <c r="J576" s="9" t="str">
        <f>VLOOKUP(A576,Sheet9!$A:$F,5,FALSE)</f>
        <v>Sindh</v>
      </c>
      <c r="K576" s="9" t="str">
        <f>VLOOKUP(A576,Sheet9!$A:$F,6,FALSE)</f>
        <v>For Rent</v>
      </c>
      <c r="L576" s="9">
        <f t="shared" si="8"/>
        <v>1</v>
      </c>
    </row>
    <row r="577" spans="1:12" ht="15" thickBot="1">
      <c r="A577" s="31">
        <v>6215687</v>
      </c>
      <c r="B577" s="35">
        <v>8491</v>
      </c>
      <c r="C577" s="35" t="s">
        <v>154</v>
      </c>
      <c r="D577" s="35">
        <v>4</v>
      </c>
      <c r="E577" s="35">
        <v>3</v>
      </c>
      <c r="F577" s="36">
        <v>43564</v>
      </c>
      <c r="G577" s="9">
        <f>VLOOKUP(A577,Sheet9!$A:$F,2,FALSE)</f>
        <v>22000000</v>
      </c>
      <c r="H577" s="9" t="str">
        <f>VLOOKUP(A577,Sheet9!$A:$F,3,FALSE )</f>
        <v>DHA Defence</v>
      </c>
      <c r="I577" s="9" t="str">
        <f>VLOOKUP(A577,Sheet9!$A:$F,4,FALSE)</f>
        <v>Karachi</v>
      </c>
      <c r="J577" s="9" t="str">
        <f>VLOOKUP(A577,Sheet9!$A:$F,5,FALSE)</f>
        <v>Sindh</v>
      </c>
      <c r="K577" s="9" t="str">
        <f>VLOOKUP(A577,Sheet9!$A:$F,6,FALSE)</f>
        <v>For Sale</v>
      </c>
      <c r="L577" s="9">
        <f t="shared" si="8"/>
        <v>1</v>
      </c>
    </row>
    <row r="578" spans="1:12" ht="15" thickBot="1">
      <c r="A578" s="31">
        <v>6216551</v>
      </c>
      <c r="B578" s="35">
        <v>1447</v>
      </c>
      <c r="C578" s="35" t="s">
        <v>153</v>
      </c>
      <c r="D578" s="35">
        <v>5</v>
      </c>
      <c r="E578" s="35">
        <v>4</v>
      </c>
      <c r="F578" s="36">
        <v>43648</v>
      </c>
      <c r="G578" s="9">
        <f>VLOOKUP(A578,Sheet9!$A:$F,2,FALSE)</f>
        <v>33000000</v>
      </c>
      <c r="H578" s="9" t="str">
        <f>VLOOKUP(A578,Sheet9!$A:$F,3,FALSE )</f>
        <v>DHA Defence</v>
      </c>
      <c r="I578" s="9" t="str">
        <f>VLOOKUP(A578,Sheet9!$A:$F,4,FALSE)</f>
        <v>Lahore</v>
      </c>
      <c r="J578" s="9" t="str">
        <f>VLOOKUP(A578,Sheet9!$A:$F,5,FALSE)</f>
        <v>Punjab</v>
      </c>
      <c r="K578" s="9" t="str">
        <f>VLOOKUP(A578,Sheet9!$A:$F,6,FALSE)</f>
        <v>For Sale</v>
      </c>
      <c r="L578" s="9">
        <f t="shared" si="8"/>
        <v>2</v>
      </c>
    </row>
    <row r="579" spans="1:12" ht="15" thickBot="1">
      <c r="A579" s="31">
        <v>6226270</v>
      </c>
      <c r="B579" s="35">
        <v>3035</v>
      </c>
      <c r="C579" s="35" t="s">
        <v>153</v>
      </c>
      <c r="D579" s="35">
        <v>5</v>
      </c>
      <c r="E579" s="35">
        <v>4</v>
      </c>
      <c r="F579" s="36">
        <v>43543</v>
      </c>
      <c r="G579" s="9">
        <f>VLOOKUP(A579,Sheet9!$A:$F,2,FALSE)</f>
        <v>60000</v>
      </c>
      <c r="H579" s="9" t="str">
        <f>VLOOKUP(A579,Sheet9!$A:$F,3,FALSE )</f>
        <v>Bahria Town Rawalpindi</v>
      </c>
      <c r="I579" s="9" t="str">
        <f>VLOOKUP(A579,Sheet9!$A:$F,4,FALSE)</f>
        <v>Rawalpindi</v>
      </c>
      <c r="J579" s="9" t="str">
        <f>VLOOKUP(A579,Sheet9!$A:$F,5,FALSE)</f>
        <v>Punjab</v>
      </c>
      <c r="K579" s="9" t="str">
        <f>VLOOKUP(A579,Sheet9!$A:$F,6,FALSE)</f>
        <v>For Rent</v>
      </c>
      <c r="L579" s="9">
        <f t="shared" ref="L579:L642" si="9">HLOOKUP(J579,$N$1:$P$2,2,FALSE)</f>
        <v>2</v>
      </c>
    </row>
    <row r="580" spans="1:12" ht="15" thickBot="1">
      <c r="A580" s="31">
        <v>6231549</v>
      </c>
      <c r="B580" s="35">
        <v>1447</v>
      </c>
      <c r="C580" s="35" t="s">
        <v>153</v>
      </c>
      <c r="D580" s="35">
        <v>5</v>
      </c>
      <c r="E580" s="35">
        <v>4</v>
      </c>
      <c r="F580" s="36">
        <v>43648</v>
      </c>
      <c r="G580" s="9">
        <f>VLOOKUP(A580,Sheet9!$A:$F,2,FALSE)</f>
        <v>29500000</v>
      </c>
      <c r="H580" s="9" t="str">
        <f>VLOOKUP(A580,Sheet9!$A:$F,3,FALSE )</f>
        <v>DHA Defence</v>
      </c>
      <c r="I580" s="9" t="str">
        <f>VLOOKUP(A580,Sheet9!$A:$F,4,FALSE)</f>
        <v>Lahore</v>
      </c>
      <c r="J580" s="9" t="str">
        <f>VLOOKUP(A580,Sheet9!$A:$F,5,FALSE)</f>
        <v>Punjab</v>
      </c>
      <c r="K580" s="9" t="str">
        <f>VLOOKUP(A580,Sheet9!$A:$F,6,FALSE)</f>
        <v>For Sale</v>
      </c>
      <c r="L580" s="9">
        <f t="shared" si="9"/>
        <v>2</v>
      </c>
    </row>
    <row r="581" spans="1:12" ht="15" thickBot="1">
      <c r="A581" s="31">
        <v>6239437</v>
      </c>
      <c r="B581" s="35">
        <v>7188</v>
      </c>
      <c r="C581" s="35" t="s">
        <v>153</v>
      </c>
      <c r="D581" s="35">
        <v>0</v>
      </c>
      <c r="E581" s="35">
        <v>5</v>
      </c>
      <c r="F581" s="36">
        <v>43664</v>
      </c>
      <c r="G581" s="9">
        <f>VLOOKUP(A581,Sheet9!$A:$F,2,FALSE)</f>
        <v>11000000</v>
      </c>
      <c r="H581" s="9" t="str">
        <f>VLOOKUP(A581,Sheet9!$A:$F,3,FALSE )</f>
        <v>North Karachi</v>
      </c>
      <c r="I581" s="9" t="str">
        <f>VLOOKUP(A581,Sheet9!$A:$F,4,FALSE)</f>
        <v>Karachi</v>
      </c>
      <c r="J581" s="9" t="str">
        <f>VLOOKUP(A581,Sheet9!$A:$F,5,FALSE)</f>
        <v>Sindh</v>
      </c>
      <c r="K581" s="9" t="str">
        <f>VLOOKUP(A581,Sheet9!$A:$F,6,FALSE)</f>
        <v>For Sale</v>
      </c>
      <c r="L581" s="9">
        <f t="shared" si="9"/>
        <v>1</v>
      </c>
    </row>
    <row r="582" spans="1:12" ht="15" thickBot="1">
      <c r="A582" s="31">
        <v>6239640</v>
      </c>
      <c r="B582" s="35">
        <v>1672</v>
      </c>
      <c r="C582" s="35" t="s">
        <v>154</v>
      </c>
      <c r="D582" s="35">
        <v>0</v>
      </c>
      <c r="E582" s="35">
        <v>2</v>
      </c>
      <c r="F582" s="36">
        <v>43664</v>
      </c>
      <c r="G582" s="9">
        <f>VLOOKUP(A582,Sheet9!$A:$F,2,FALSE)</f>
        <v>7000000</v>
      </c>
      <c r="H582" s="9" t="str">
        <f>VLOOKUP(A582,Sheet9!$A:$F,3,FALSE )</f>
        <v>DHA Defence</v>
      </c>
      <c r="I582" s="9" t="str">
        <f>VLOOKUP(A582,Sheet9!$A:$F,4,FALSE)</f>
        <v>Karachi</v>
      </c>
      <c r="J582" s="9" t="str">
        <f>VLOOKUP(A582,Sheet9!$A:$F,5,FALSE)</f>
        <v>Sindh</v>
      </c>
      <c r="K582" s="9" t="str">
        <f>VLOOKUP(A582,Sheet9!$A:$F,6,FALSE)</f>
        <v>For Sale</v>
      </c>
      <c r="L582" s="9">
        <f t="shared" si="9"/>
        <v>1</v>
      </c>
    </row>
    <row r="583" spans="1:12" ht="15" thickBot="1">
      <c r="A583" s="31">
        <v>6249558</v>
      </c>
      <c r="B583" s="35">
        <v>427</v>
      </c>
      <c r="C583" s="35" t="s">
        <v>153</v>
      </c>
      <c r="D583" s="35">
        <v>6</v>
      </c>
      <c r="E583" s="35">
        <v>5</v>
      </c>
      <c r="F583" s="36">
        <v>43634</v>
      </c>
      <c r="G583" s="9">
        <f>VLOOKUP(A583,Sheet9!$A:$F,2,FALSE)</f>
        <v>75000000</v>
      </c>
      <c r="H583" s="9" t="str">
        <f>VLOOKUP(A583,Sheet9!$A:$F,3,FALSE )</f>
        <v>Cantt</v>
      </c>
      <c r="I583" s="9" t="str">
        <f>VLOOKUP(A583,Sheet9!$A:$F,4,FALSE)</f>
        <v>Lahore</v>
      </c>
      <c r="J583" s="9" t="str">
        <f>VLOOKUP(A583,Sheet9!$A:$F,5,FALSE)</f>
        <v>Punjab</v>
      </c>
      <c r="K583" s="9" t="str">
        <f>VLOOKUP(A583,Sheet9!$A:$F,6,FALSE)</f>
        <v>For Sale</v>
      </c>
      <c r="L583" s="9">
        <f t="shared" si="9"/>
        <v>2</v>
      </c>
    </row>
    <row r="584" spans="1:12" ht="15" thickBot="1">
      <c r="A584" s="31">
        <v>6255874</v>
      </c>
      <c r="B584" s="35">
        <v>11844</v>
      </c>
      <c r="C584" s="35" t="s">
        <v>153</v>
      </c>
      <c r="D584" s="35">
        <v>4</v>
      </c>
      <c r="E584" s="35">
        <v>3</v>
      </c>
      <c r="F584" s="36">
        <v>43649</v>
      </c>
      <c r="G584" s="9">
        <f>VLOOKUP(A584,Sheet9!$A:$F,2,FALSE)</f>
        <v>7900000</v>
      </c>
      <c r="H584" s="9" t="str">
        <f>VLOOKUP(A584,Sheet9!$A:$F,3,FALSE )</f>
        <v>Jaranwala Road</v>
      </c>
      <c r="I584" s="9" t="str">
        <f>VLOOKUP(A584,Sheet9!$A:$F,4,FALSE)</f>
        <v>Lahore</v>
      </c>
      <c r="J584" s="9" t="str">
        <f>VLOOKUP(A584,Sheet9!$A:$F,5,FALSE)</f>
        <v>Punjab</v>
      </c>
      <c r="K584" s="9" t="str">
        <f>VLOOKUP(A584,Sheet9!$A:$F,6,FALSE)</f>
        <v>For Sale</v>
      </c>
      <c r="L584" s="9">
        <f t="shared" si="9"/>
        <v>2</v>
      </c>
    </row>
    <row r="585" spans="1:12" ht="15" thickBot="1">
      <c r="A585" s="31">
        <v>6265584</v>
      </c>
      <c r="B585" s="35">
        <v>4892</v>
      </c>
      <c r="C585" s="35" t="s">
        <v>153</v>
      </c>
      <c r="D585" s="35">
        <v>3</v>
      </c>
      <c r="E585" s="35">
        <v>3</v>
      </c>
      <c r="F585" s="36">
        <v>43573</v>
      </c>
      <c r="G585" s="9">
        <f>VLOOKUP(A585,Sheet9!$A:$F,2,FALSE)</f>
        <v>4500000</v>
      </c>
      <c r="H585" s="9" t="str">
        <f>VLOOKUP(A585,Sheet9!$A:$F,3,FALSE )</f>
        <v>Abdullahpur</v>
      </c>
      <c r="I585" s="9" t="str">
        <f>VLOOKUP(A585,Sheet9!$A:$F,4,FALSE)</f>
        <v>Faisalabad</v>
      </c>
      <c r="J585" s="9" t="str">
        <f>VLOOKUP(A585,Sheet9!$A:$F,5,FALSE)</f>
        <v>Punjab</v>
      </c>
      <c r="K585" s="9" t="str">
        <f>VLOOKUP(A585,Sheet9!$A:$F,6,FALSE)</f>
        <v>For Sale</v>
      </c>
      <c r="L585" s="9">
        <f t="shared" si="9"/>
        <v>2</v>
      </c>
    </row>
    <row r="586" spans="1:12" ht="15" thickBot="1">
      <c r="A586" s="31">
        <v>6265851</v>
      </c>
      <c r="B586" s="35">
        <v>1705</v>
      </c>
      <c r="C586" s="35" t="s">
        <v>154</v>
      </c>
      <c r="D586" s="35">
        <v>2</v>
      </c>
      <c r="E586" s="35">
        <v>2</v>
      </c>
      <c r="F586" s="36">
        <v>43661</v>
      </c>
      <c r="G586" s="9">
        <f>VLOOKUP(A586,Sheet9!$A:$F,2,FALSE)</f>
        <v>5656000</v>
      </c>
      <c r="H586" s="9" t="str">
        <f>VLOOKUP(A586,Sheet9!$A:$F,3,FALSE )</f>
        <v>Bahria Town</v>
      </c>
      <c r="I586" s="9" t="str">
        <f>VLOOKUP(A586,Sheet9!$A:$F,4,FALSE)</f>
        <v>Islamabad</v>
      </c>
      <c r="J586" s="9" t="str">
        <f>VLOOKUP(A586,Sheet9!$A:$F,5,FALSE)</f>
        <v>Islamabad Capital</v>
      </c>
      <c r="K586" s="9" t="str">
        <f>VLOOKUP(A586,Sheet9!$A:$F,6,FALSE)</f>
        <v>For Sale</v>
      </c>
      <c r="L586" s="9">
        <f t="shared" si="9"/>
        <v>3</v>
      </c>
    </row>
    <row r="587" spans="1:12" ht="15" thickBot="1">
      <c r="A587" s="31">
        <v>6270196</v>
      </c>
      <c r="B587" s="35">
        <v>9191</v>
      </c>
      <c r="C587" s="35" t="s">
        <v>154</v>
      </c>
      <c r="D587" s="35">
        <v>2</v>
      </c>
      <c r="E587" s="35">
        <v>0</v>
      </c>
      <c r="F587" s="36">
        <v>43621</v>
      </c>
      <c r="G587" s="9">
        <f>VLOOKUP(A587,Sheet9!$A:$F,2,FALSE)</f>
        <v>5049000</v>
      </c>
      <c r="H587" s="9" t="str">
        <f>VLOOKUP(A587,Sheet9!$A:$F,3,FALSE )</f>
        <v>Scheme 33</v>
      </c>
      <c r="I587" s="9" t="str">
        <f>VLOOKUP(A587,Sheet9!$A:$F,4,FALSE)</f>
        <v>Karachi</v>
      </c>
      <c r="J587" s="9" t="str">
        <f>VLOOKUP(A587,Sheet9!$A:$F,5,FALSE)</f>
        <v>Sindh</v>
      </c>
      <c r="K587" s="9" t="str">
        <f>VLOOKUP(A587,Sheet9!$A:$F,6,FALSE)</f>
        <v>For Sale</v>
      </c>
      <c r="L587" s="9">
        <f t="shared" si="9"/>
        <v>1</v>
      </c>
    </row>
    <row r="588" spans="1:12" ht="15" thickBot="1">
      <c r="A588" s="31">
        <v>6271232</v>
      </c>
      <c r="B588" s="35">
        <v>329</v>
      </c>
      <c r="C588" s="35" t="s">
        <v>154</v>
      </c>
      <c r="D588" s="35">
        <v>2</v>
      </c>
      <c r="E588" s="35">
        <v>2</v>
      </c>
      <c r="F588" s="36">
        <v>43560</v>
      </c>
      <c r="G588" s="9">
        <f>VLOOKUP(A588,Sheet9!$A:$F,2,FALSE)</f>
        <v>5800000</v>
      </c>
      <c r="H588" s="9" t="str">
        <f>VLOOKUP(A588,Sheet9!$A:$F,3,FALSE )</f>
        <v>E-11</v>
      </c>
      <c r="I588" s="9" t="str">
        <f>VLOOKUP(A588,Sheet9!$A:$F,4,FALSE)</f>
        <v>Islamabad</v>
      </c>
      <c r="J588" s="9" t="str">
        <f>VLOOKUP(A588,Sheet9!$A:$F,5,FALSE)</f>
        <v>Islamabad Capital</v>
      </c>
      <c r="K588" s="9" t="str">
        <f>VLOOKUP(A588,Sheet9!$A:$F,6,FALSE)</f>
        <v>For Sale</v>
      </c>
      <c r="L588" s="9">
        <f t="shared" si="9"/>
        <v>3</v>
      </c>
    </row>
    <row r="589" spans="1:12" ht="15" thickBot="1">
      <c r="A589" s="31">
        <v>6273458</v>
      </c>
      <c r="B589" s="35">
        <v>1622</v>
      </c>
      <c r="C589" s="35" t="s">
        <v>153</v>
      </c>
      <c r="D589" s="35">
        <v>6</v>
      </c>
      <c r="E589" s="35">
        <v>5</v>
      </c>
      <c r="F589" s="36">
        <v>43649</v>
      </c>
      <c r="G589" s="9">
        <f>VLOOKUP(A589,Sheet9!$A:$F,2,FALSE)</f>
        <v>45000000</v>
      </c>
      <c r="H589" s="9" t="str">
        <f>VLOOKUP(A589,Sheet9!$A:$F,3,FALSE )</f>
        <v>DHA Defence</v>
      </c>
      <c r="I589" s="9" t="str">
        <f>VLOOKUP(A589,Sheet9!$A:$F,4,FALSE)</f>
        <v>Lahore</v>
      </c>
      <c r="J589" s="9" t="str">
        <f>VLOOKUP(A589,Sheet9!$A:$F,5,FALSE)</f>
        <v>Punjab</v>
      </c>
      <c r="K589" s="9" t="str">
        <f>VLOOKUP(A589,Sheet9!$A:$F,6,FALSE)</f>
        <v>For Sale</v>
      </c>
      <c r="L589" s="9">
        <f t="shared" si="9"/>
        <v>2</v>
      </c>
    </row>
    <row r="590" spans="1:12" ht="15" thickBot="1">
      <c r="A590" s="31">
        <v>6281914</v>
      </c>
      <c r="B590" s="35">
        <v>6671</v>
      </c>
      <c r="C590" s="35" t="s">
        <v>154</v>
      </c>
      <c r="D590" s="35">
        <v>2</v>
      </c>
      <c r="E590" s="35">
        <v>2</v>
      </c>
      <c r="F590" s="36">
        <v>43630</v>
      </c>
      <c r="G590" s="9">
        <f>VLOOKUP(A590,Sheet9!$A:$F,2,FALSE)</f>
        <v>8000000</v>
      </c>
      <c r="H590" s="9" t="str">
        <f>VLOOKUP(A590,Sheet9!$A:$F,3,FALSE )</f>
        <v>DHA Defence</v>
      </c>
      <c r="I590" s="9" t="str">
        <f>VLOOKUP(A590,Sheet9!$A:$F,4,FALSE)</f>
        <v>Karachi</v>
      </c>
      <c r="J590" s="9" t="str">
        <f>VLOOKUP(A590,Sheet9!$A:$F,5,FALSE)</f>
        <v>Sindh</v>
      </c>
      <c r="K590" s="9" t="str">
        <f>VLOOKUP(A590,Sheet9!$A:$F,6,FALSE)</f>
        <v>For Sale</v>
      </c>
      <c r="L590" s="9">
        <f t="shared" si="9"/>
        <v>1</v>
      </c>
    </row>
    <row r="591" spans="1:12" ht="15" thickBot="1">
      <c r="A591" s="31">
        <v>6282072</v>
      </c>
      <c r="B591" s="35">
        <v>3238</v>
      </c>
      <c r="C591" s="35" t="s">
        <v>153</v>
      </c>
      <c r="D591" s="35">
        <v>9</v>
      </c>
      <c r="E591" s="35">
        <v>9</v>
      </c>
      <c r="F591" s="36">
        <v>43649</v>
      </c>
      <c r="G591" s="9">
        <f>VLOOKUP(A591,Sheet9!$A:$F,2,FALSE)</f>
        <v>90000000</v>
      </c>
      <c r="H591" s="9" t="str">
        <f>VLOOKUP(A591,Sheet9!$A:$F,3,FALSE )</f>
        <v>E-11</v>
      </c>
      <c r="I591" s="9" t="str">
        <f>VLOOKUP(A591,Sheet9!$A:$F,4,FALSE)</f>
        <v>Islamabad</v>
      </c>
      <c r="J591" s="9" t="str">
        <f>VLOOKUP(A591,Sheet9!$A:$F,5,FALSE)</f>
        <v>Islamabad Capital</v>
      </c>
      <c r="K591" s="9" t="str">
        <f>VLOOKUP(A591,Sheet9!$A:$F,6,FALSE)</f>
        <v>For Sale</v>
      </c>
      <c r="L591" s="9">
        <f t="shared" si="9"/>
        <v>3</v>
      </c>
    </row>
    <row r="592" spans="1:12" ht="15" thickBot="1">
      <c r="A592" s="31">
        <v>6282095</v>
      </c>
      <c r="B592" s="35">
        <v>3277</v>
      </c>
      <c r="C592" s="35" t="s">
        <v>153</v>
      </c>
      <c r="D592" s="35">
        <v>6</v>
      </c>
      <c r="E592" s="35">
        <v>6</v>
      </c>
      <c r="F592" s="36">
        <v>43649</v>
      </c>
      <c r="G592" s="9">
        <f>VLOOKUP(A592,Sheet9!$A:$F,2,FALSE)</f>
        <v>80000000</v>
      </c>
      <c r="H592" s="9" t="str">
        <f>VLOOKUP(A592,Sheet9!$A:$F,3,FALSE )</f>
        <v>F-10</v>
      </c>
      <c r="I592" s="9" t="str">
        <f>VLOOKUP(A592,Sheet9!$A:$F,4,FALSE)</f>
        <v>Islamabad</v>
      </c>
      <c r="J592" s="9" t="str">
        <f>VLOOKUP(A592,Sheet9!$A:$F,5,FALSE)</f>
        <v>Islamabad Capital</v>
      </c>
      <c r="K592" s="9" t="str">
        <f>VLOOKUP(A592,Sheet9!$A:$F,6,FALSE)</f>
        <v>For Sale</v>
      </c>
      <c r="L592" s="9">
        <f t="shared" si="9"/>
        <v>3</v>
      </c>
    </row>
    <row r="593" spans="1:12" ht="15" thickBot="1">
      <c r="A593" s="31">
        <v>6282155</v>
      </c>
      <c r="B593" s="35">
        <v>3277</v>
      </c>
      <c r="C593" s="35" t="s">
        <v>153</v>
      </c>
      <c r="D593" s="35">
        <v>6</v>
      </c>
      <c r="E593" s="35">
        <v>6</v>
      </c>
      <c r="F593" s="36">
        <v>43649</v>
      </c>
      <c r="G593" s="9">
        <f>VLOOKUP(A593,Sheet9!$A:$F,2,FALSE)</f>
        <v>85000000</v>
      </c>
      <c r="H593" s="9" t="str">
        <f>VLOOKUP(A593,Sheet9!$A:$F,3,FALSE )</f>
        <v>F-10</v>
      </c>
      <c r="I593" s="9" t="str">
        <f>VLOOKUP(A593,Sheet9!$A:$F,4,FALSE)</f>
        <v>Islamabad</v>
      </c>
      <c r="J593" s="9" t="str">
        <f>VLOOKUP(A593,Sheet9!$A:$F,5,FALSE)</f>
        <v>Islamabad Capital</v>
      </c>
      <c r="K593" s="9" t="str">
        <f>VLOOKUP(A593,Sheet9!$A:$F,6,FALSE)</f>
        <v>For Sale</v>
      </c>
      <c r="L593" s="9">
        <f t="shared" si="9"/>
        <v>3</v>
      </c>
    </row>
    <row r="594" spans="1:12" ht="15" thickBot="1">
      <c r="A594" s="31">
        <v>6282236</v>
      </c>
      <c r="B594" s="35">
        <v>3282</v>
      </c>
      <c r="C594" s="35" t="s">
        <v>153</v>
      </c>
      <c r="D594" s="35">
        <v>6</v>
      </c>
      <c r="E594" s="35">
        <v>6</v>
      </c>
      <c r="F594" s="36">
        <v>43649</v>
      </c>
      <c r="G594" s="9">
        <f>VLOOKUP(A594,Sheet9!$A:$F,2,FALSE)</f>
        <v>85000000</v>
      </c>
      <c r="H594" s="9" t="str">
        <f>VLOOKUP(A594,Sheet9!$A:$F,3,FALSE )</f>
        <v>F-11</v>
      </c>
      <c r="I594" s="9" t="str">
        <f>VLOOKUP(A594,Sheet9!$A:$F,4,FALSE)</f>
        <v>Islamabad</v>
      </c>
      <c r="J594" s="9" t="str">
        <f>VLOOKUP(A594,Sheet9!$A:$F,5,FALSE)</f>
        <v>Islamabad Capital</v>
      </c>
      <c r="K594" s="9" t="str">
        <f>VLOOKUP(A594,Sheet9!$A:$F,6,FALSE)</f>
        <v>For Sale</v>
      </c>
      <c r="L594" s="9">
        <f t="shared" si="9"/>
        <v>3</v>
      </c>
    </row>
    <row r="595" spans="1:12" ht="15" thickBot="1">
      <c r="A595" s="31">
        <v>6282364</v>
      </c>
      <c r="B595" s="35">
        <v>3286</v>
      </c>
      <c r="C595" s="35" t="s">
        <v>154</v>
      </c>
      <c r="D595" s="35">
        <v>4</v>
      </c>
      <c r="E595" s="35">
        <v>4</v>
      </c>
      <c r="F595" s="36">
        <v>43629</v>
      </c>
      <c r="G595" s="9">
        <f>VLOOKUP(A595,Sheet9!$A:$F,2,FALSE)</f>
        <v>42000000</v>
      </c>
      <c r="H595" s="9" t="str">
        <f>VLOOKUP(A595,Sheet9!$A:$F,3,FALSE )</f>
        <v>F-11</v>
      </c>
      <c r="I595" s="9" t="str">
        <f>VLOOKUP(A595,Sheet9!$A:$F,4,FALSE)</f>
        <v>Islamabad</v>
      </c>
      <c r="J595" s="9" t="str">
        <f>VLOOKUP(A595,Sheet9!$A:$F,5,FALSE)</f>
        <v>Islamabad Capital</v>
      </c>
      <c r="K595" s="9" t="str">
        <f>VLOOKUP(A595,Sheet9!$A:$F,6,FALSE)</f>
        <v>For Sale</v>
      </c>
      <c r="L595" s="9">
        <f t="shared" si="9"/>
        <v>3</v>
      </c>
    </row>
    <row r="596" spans="1:12" ht="15" thickBot="1">
      <c r="A596" s="31">
        <v>6284063</v>
      </c>
      <c r="B596" s="35">
        <v>3036</v>
      </c>
      <c r="C596" s="35" t="s">
        <v>153</v>
      </c>
      <c r="D596" s="35">
        <v>7</v>
      </c>
      <c r="E596" s="35">
        <v>6</v>
      </c>
      <c r="F596" s="36">
        <v>43649</v>
      </c>
      <c r="G596" s="9">
        <f>VLOOKUP(A596,Sheet9!$A:$F,2,FALSE)</f>
        <v>40000000</v>
      </c>
      <c r="H596" s="9" t="str">
        <f>VLOOKUP(A596,Sheet9!$A:$F,3,FALSE )</f>
        <v>Bahria Town Rawalpindi</v>
      </c>
      <c r="I596" s="9" t="str">
        <f>VLOOKUP(A596,Sheet9!$A:$F,4,FALSE)</f>
        <v>Rawalpindi</v>
      </c>
      <c r="J596" s="9" t="str">
        <f>VLOOKUP(A596,Sheet9!$A:$F,5,FALSE)</f>
        <v>Punjab</v>
      </c>
      <c r="K596" s="9" t="str">
        <f>VLOOKUP(A596,Sheet9!$A:$F,6,FALSE)</f>
        <v>For Sale</v>
      </c>
      <c r="L596" s="9">
        <f t="shared" si="9"/>
        <v>2</v>
      </c>
    </row>
    <row r="597" spans="1:12" ht="15" thickBot="1">
      <c r="A597" s="31">
        <v>6284439</v>
      </c>
      <c r="B597" s="35">
        <v>3307</v>
      </c>
      <c r="C597" s="35" t="s">
        <v>153</v>
      </c>
      <c r="D597" s="35">
        <v>5</v>
      </c>
      <c r="E597" s="35">
        <v>4</v>
      </c>
      <c r="F597" s="36">
        <v>43647</v>
      </c>
      <c r="G597" s="9">
        <f>VLOOKUP(A597,Sheet9!$A:$F,2,FALSE)</f>
        <v>105000000</v>
      </c>
      <c r="H597" s="9" t="str">
        <f>VLOOKUP(A597,Sheet9!$A:$F,3,FALSE )</f>
        <v>F-7</v>
      </c>
      <c r="I597" s="9" t="str">
        <f>VLOOKUP(A597,Sheet9!$A:$F,4,FALSE)</f>
        <v>Islamabad</v>
      </c>
      <c r="J597" s="9" t="str">
        <f>VLOOKUP(A597,Sheet9!$A:$F,5,FALSE)</f>
        <v>Islamabad Capital</v>
      </c>
      <c r="K597" s="9" t="str">
        <f>VLOOKUP(A597,Sheet9!$A:$F,6,FALSE)</f>
        <v>For Sale</v>
      </c>
      <c r="L597" s="9">
        <f t="shared" si="9"/>
        <v>3</v>
      </c>
    </row>
    <row r="598" spans="1:12" ht="15" thickBot="1">
      <c r="A598" s="31">
        <v>6285987</v>
      </c>
      <c r="B598" s="35">
        <v>3279</v>
      </c>
      <c r="C598" s="35" t="s">
        <v>153</v>
      </c>
      <c r="D598" s="35">
        <v>5</v>
      </c>
      <c r="E598" s="35">
        <v>5</v>
      </c>
      <c r="F598" s="36">
        <v>43649</v>
      </c>
      <c r="G598" s="9">
        <f>VLOOKUP(A598,Sheet9!$A:$F,2,FALSE)</f>
        <v>200000</v>
      </c>
      <c r="H598" s="9" t="str">
        <f>VLOOKUP(A598,Sheet9!$A:$F,3,FALSE )</f>
        <v>F-10</v>
      </c>
      <c r="I598" s="9" t="str">
        <f>VLOOKUP(A598,Sheet9!$A:$F,4,FALSE)</f>
        <v>Islamabad</v>
      </c>
      <c r="J598" s="9" t="str">
        <f>VLOOKUP(A598,Sheet9!$A:$F,5,FALSE)</f>
        <v>Islamabad Capital</v>
      </c>
      <c r="K598" s="9" t="str">
        <f>VLOOKUP(A598,Sheet9!$A:$F,6,FALSE)</f>
        <v>For Rent</v>
      </c>
      <c r="L598" s="9">
        <f t="shared" si="9"/>
        <v>3</v>
      </c>
    </row>
    <row r="599" spans="1:12" ht="15" thickBot="1">
      <c r="A599" s="31">
        <v>6285993</v>
      </c>
      <c r="B599" s="35">
        <v>3276</v>
      </c>
      <c r="C599" s="35" t="s">
        <v>153</v>
      </c>
      <c r="D599" s="35">
        <v>5</v>
      </c>
      <c r="E599" s="35">
        <v>5</v>
      </c>
      <c r="F599" s="36">
        <v>43649</v>
      </c>
      <c r="G599" s="9">
        <f>VLOOKUP(A599,Sheet9!$A:$F,2,FALSE)</f>
        <v>200000</v>
      </c>
      <c r="H599" s="9" t="str">
        <f>VLOOKUP(A599,Sheet9!$A:$F,3,FALSE )</f>
        <v>F-10</v>
      </c>
      <c r="I599" s="9" t="str">
        <f>VLOOKUP(A599,Sheet9!$A:$F,4,FALSE)</f>
        <v>Islamabad</v>
      </c>
      <c r="J599" s="9" t="str">
        <f>VLOOKUP(A599,Sheet9!$A:$F,5,FALSE)</f>
        <v>Islamabad Capital</v>
      </c>
      <c r="K599" s="9" t="str">
        <f>VLOOKUP(A599,Sheet9!$A:$F,6,FALSE)</f>
        <v>For Rent</v>
      </c>
      <c r="L599" s="9">
        <f t="shared" si="9"/>
        <v>3</v>
      </c>
    </row>
    <row r="600" spans="1:12" ht="15" thickBot="1">
      <c r="A600" s="31">
        <v>6286011</v>
      </c>
      <c r="B600" s="35">
        <v>3276</v>
      </c>
      <c r="C600" s="35" t="s">
        <v>153</v>
      </c>
      <c r="D600" s="35">
        <v>6</v>
      </c>
      <c r="E600" s="35">
        <v>6</v>
      </c>
      <c r="F600" s="36">
        <v>43657</v>
      </c>
      <c r="G600" s="9">
        <f>VLOOKUP(A600,Sheet9!$A:$F,2,FALSE)</f>
        <v>190000</v>
      </c>
      <c r="H600" s="9" t="str">
        <f>VLOOKUP(A600,Sheet9!$A:$F,3,FALSE )</f>
        <v>F-10</v>
      </c>
      <c r="I600" s="9" t="str">
        <f>VLOOKUP(A600,Sheet9!$A:$F,4,FALSE)</f>
        <v>Islamabad</v>
      </c>
      <c r="J600" s="9" t="str">
        <f>VLOOKUP(A600,Sheet9!$A:$F,5,FALSE)</f>
        <v>Islamabad Capital</v>
      </c>
      <c r="K600" s="9" t="str">
        <f>VLOOKUP(A600,Sheet9!$A:$F,6,FALSE)</f>
        <v>For Rent</v>
      </c>
      <c r="L600" s="9">
        <f t="shared" si="9"/>
        <v>3</v>
      </c>
    </row>
    <row r="601" spans="1:12" ht="15" thickBot="1">
      <c r="A601" s="31">
        <v>6286021</v>
      </c>
      <c r="B601" s="35">
        <v>3277</v>
      </c>
      <c r="C601" s="35" t="s">
        <v>153</v>
      </c>
      <c r="D601" s="35">
        <v>9</v>
      </c>
      <c r="E601" s="35">
        <v>9</v>
      </c>
      <c r="F601" s="36">
        <v>43657</v>
      </c>
      <c r="G601" s="9">
        <f>VLOOKUP(A601,Sheet9!$A:$F,2,FALSE)</f>
        <v>300000</v>
      </c>
      <c r="H601" s="9" t="str">
        <f>VLOOKUP(A601,Sheet9!$A:$F,3,FALSE )</f>
        <v>F-10</v>
      </c>
      <c r="I601" s="9" t="str">
        <f>VLOOKUP(A601,Sheet9!$A:$F,4,FALSE)</f>
        <v>Islamabad</v>
      </c>
      <c r="J601" s="9" t="str">
        <f>VLOOKUP(A601,Sheet9!$A:$F,5,FALSE)</f>
        <v>Islamabad Capital</v>
      </c>
      <c r="K601" s="9" t="str">
        <f>VLOOKUP(A601,Sheet9!$A:$F,6,FALSE)</f>
        <v>For Rent</v>
      </c>
      <c r="L601" s="9">
        <f t="shared" si="9"/>
        <v>3</v>
      </c>
    </row>
    <row r="602" spans="1:12" ht="29.5" thickBot="1">
      <c r="A602" s="31">
        <v>6286033</v>
      </c>
      <c r="B602" s="35">
        <v>163</v>
      </c>
      <c r="C602" s="35" t="s">
        <v>155</v>
      </c>
      <c r="D602" s="35">
        <v>4</v>
      </c>
      <c r="E602" s="35">
        <v>4</v>
      </c>
      <c r="F602" s="36">
        <v>43649</v>
      </c>
      <c r="G602" s="9">
        <f>VLOOKUP(A602,Sheet9!$A:$F,2,FALSE)</f>
        <v>120000</v>
      </c>
      <c r="H602" s="9" t="str">
        <f>VLOOKUP(A602,Sheet9!$A:$F,3,FALSE )</f>
        <v>F-11</v>
      </c>
      <c r="I602" s="9" t="str">
        <f>VLOOKUP(A602,Sheet9!$A:$F,4,FALSE)</f>
        <v>Islamabad</v>
      </c>
      <c r="J602" s="9" t="str">
        <f>VLOOKUP(A602,Sheet9!$A:$F,5,FALSE)</f>
        <v>Islamabad Capital</v>
      </c>
      <c r="K602" s="9" t="str">
        <f>VLOOKUP(A602,Sheet9!$A:$F,6,FALSE)</f>
        <v>For Rent</v>
      </c>
      <c r="L602" s="9">
        <f t="shared" si="9"/>
        <v>3</v>
      </c>
    </row>
    <row r="603" spans="1:12" ht="29.5" thickBot="1">
      <c r="A603" s="31">
        <v>6286199</v>
      </c>
      <c r="B603" s="35">
        <v>11579</v>
      </c>
      <c r="C603" s="35" t="s">
        <v>156</v>
      </c>
      <c r="D603" s="35">
        <v>0</v>
      </c>
      <c r="E603" s="35">
        <v>0</v>
      </c>
      <c r="F603" s="36">
        <v>43649</v>
      </c>
      <c r="G603" s="9">
        <f>VLOOKUP(A603,Sheet9!$A:$F,2,FALSE)</f>
        <v>80000</v>
      </c>
      <c r="H603" s="9" t="str">
        <f>VLOOKUP(A603,Sheet9!$A:$F,3,FALSE )</f>
        <v>Navy Housing Scheme Karsaz</v>
      </c>
      <c r="I603" s="9" t="str">
        <f>VLOOKUP(A603,Sheet9!$A:$F,4,FALSE)</f>
        <v>Karachi</v>
      </c>
      <c r="J603" s="9" t="str">
        <f>VLOOKUP(A603,Sheet9!$A:$F,5,FALSE)</f>
        <v>Sindh</v>
      </c>
      <c r="K603" s="9" t="str">
        <f>VLOOKUP(A603,Sheet9!$A:$F,6,FALSE)</f>
        <v>For Rent</v>
      </c>
      <c r="L603" s="9">
        <f t="shared" si="9"/>
        <v>1</v>
      </c>
    </row>
    <row r="604" spans="1:12" ht="15" thickBot="1">
      <c r="A604" s="31">
        <v>6288391</v>
      </c>
      <c r="B604" s="35">
        <v>69</v>
      </c>
      <c r="C604" s="35" t="s">
        <v>153</v>
      </c>
      <c r="D604" s="35">
        <v>6</v>
      </c>
      <c r="E604" s="35">
        <v>6</v>
      </c>
      <c r="F604" s="36">
        <v>43588</v>
      </c>
      <c r="G604" s="9">
        <f>VLOOKUP(A604,Sheet9!$A:$F,2,FALSE)</f>
        <v>20000000</v>
      </c>
      <c r="H604" s="9" t="str">
        <f>VLOOKUP(A604,Sheet9!$A:$F,3,FALSE )</f>
        <v>Cavalry Ground</v>
      </c>
      <c r="I604" s="9" t="str">
        <f>VLOOKUP(A604,Sheet9!$A:$F,4,FALSE)</f>
        <v>Lahore</v>
      </c>
      <c r="J604" s="9" t="str">
        <f>VLOOKUP(A604,Sheet9!$A:$F,5,FALSE)</f>
        <v>Punjab</v>
      </c>
      <c r="K604" s="9" t="str">
        <f>VLOOKUP(A604,Sheet9!$A:$F,6,FALSE)</f>
        <v>For Sale</v>
      </c>
      <c r="L604" s="9">
        <f t="shared" si="9"/>
        <v>2</v>
      </c>
    </row>
    <row r="605" spans="1:12" ht="15" thickBot="1">
      <c r="A605" s="31">
        <v>6288736</v>
      </c>
      <c r="B605" s="35">
        <v>8424</v>
      </c>
      <c r="C605" s="35" t="s">
        <v>158</v>
      </c>
      <c r="D605" s="35">
        <v>2</v>
      </c>
      <c r="E605" s="35">
        <v>2</v>
      </c>
      <c r="F605" s="36">
        <v>43589</v>
      </c>
      <c r="G605" s="9">
        <f>VLOOKUP(A605,Sheet9!$A:$F,2,FALSE)</f>
        <v>54000000</v>
      </c>
      <c r="H605" s="9" t="str">
        <f>VLOOKUP(A605,Sheet9!$A:$F,3,FALSE )</f>
        <v>Shah Allah Ditta</v>
      </c>
      <c r="I605" s="9" t="str">
        <f>VLOOKUP(A605,Sheet9!$A:$F,4,FALSE)</f>
        <v>Islamabad</v>
      </c>
      <c r="J605" s="9" t="str">
        <f>VLOOKUP(A605,Sheet9!$A:$F,5,FALSE)</f>
        <v>Islamabad Capital</v>
      </c>
      <c r="K605" s="9" t="str">
        <f>VLOOKUP(A605,Sheet9!$A:$F,6,FALSE)</f>
        <v>For Sale</v>
      </c>
      <c r="L605" s="9">
        <f t="shared" si="9"/>
        <v>3</v>
      </c>
    </row>
    <row r="606" spans="1:12" ht="15" thickBot="1">
      <c r="A606" s="31">
        <v>6288959</v>
      </c>
      <c r="B606" s="35">
        <v>339</v>
      </c>
      <c r="C606" s="35" t="s">
        <v>154</v>
      </c>
      <c r="D606" s="35">
        <v>3</v>
      </c>
      <c r="E606" s="35">
        <v>3</v>
      </c>
      <c r="F606" s="36">
        <v>43500</v>
      </c>
      <c r="G606" s="9">
        <f>VLOOKUP(A606,Sheet9!$A:$F,2,FALSE)</f>
        <v>43000</v>
      </c>
      <c r="H606" s="9" t="str">
        <f>VLOOKUP(A606,Sheet9!$A:$F,3,FALSE )</f>
        <v>DHA Defence</v>
      </c>
      <c r="I606" s="9" t="str">
        <f>VLOOKUP(A606,Sheet9!$A:$F,4,FALSE)</f>
        <v>Islamabad</v>
      </c>
      <c r="J606" s="9" t="str">
        <f>VLOOKUP(A606,Sheet9!$A:$F,5,FALSE)</f>
        <v>Islamabad Capital</v>
      </c>
      <c r="K606" s="9" t="str">
        <f>VLOOKUP(A606,Sheet9!$A:$F,6,FALSE)</f>
        <v>For Rent</v>
      </c>
      <c r="L606" s="9">
        <f t="shared" si="9"/>
        <v>3</v>
      </c>
    </row>
    <row r="607" spans="1:12" ht="15" thickBot="1">
      <c r="A607" s="31">
        <v>6295342</v>
      </c>
      <c r="B607" s="35">
        <v>8580</v>
      </c>
      <c r="C607" s="35" t="s">
        <v>154</v>
      </c>
      <c r="D607" s="35">
        <v>1</v>
      </c>
      <c r="E607" s="35">
        <v>1</v>
      </c>
      <c r="F607" s="36">
        <v>43620</v>
      </c>
      <c r="G607" s="9">
        <f>VLOOKUP(A607,Sheet9!$A:$F,2,FALSE)</f>
        <v>1500000</v>
      </c>
      <c r="H607" s="9" t="str">
        <f>VLOOKUP(A607,Sheet9!$A:$F,3,FALSE )</f>
        <v>Bahria Town Rawalpindi</v>
      </c>
      <c r="I607" s="9" t="str">
        <f>VLOOKUP(A607,Sheet9!$A:$F,4,FALSE)</f>
        <v>Rawalpindi</v>
      </c>
      <c r="J607" s="9" t="str">
        <f>VLOOKUP(A607,Sheet9!$A:$F,5,FALSE)</f>
        <v>Punjab</v>
      </c>
      <c r="K607" s="9" t="str">
        <f>VLOOKUP(A607,Sheet9!$A:$F,6,FALSE)</f>
        <v>For Sale</v>
      </c>
      <c r="L607" s="9">
        <f t="shared" si="9"/>
        <v>2</v>
      </c>
    </row>
    <row r="608" spans="1:12" ht="15" thickBot="1">
      <c r="A608" s="31">
        <v>6309154</v>
      </c>
      <c r="B608" s="35">
        <v>69</v>
      </c>
      <c r="C608" s="35" t="s">
        <v>153</v>
      </c>
      <c r="D608" s="35">
        <v>6</v>
      </c>
      <c r="E608" s="35">
        <v>5</v>
      </c>
      <c r="F608" s="36">
        <v>43634</v>
      </c>
      <c r="G608" s="9">
        <f>VLOOKUP(A608,Sheet9!$A:$F,2,FALSE)</f>
        <v>100000000</v>
      </c>
      <c r="H608" s="9" t="str">
        <f>VLOOKUP(A608,Sheet9!$A:$F,3,FALSE )</f>
        <v>Cavalry Ground</v>
      </c>
      <c r="I608" s="9" t="str">
        <f>VLOOKUP(A608,Sheet9!$A:$F,4,FALSE)</f>
        <v>Lahore</v>
      </c>
      <c r="J608" s="9" t="str">
        <f>VLOOKUP(A608,Sheet9!$A:$F,5,FALSE)</f>
        <v>Punjab</v>
      </c>
      <c r="K608" s="9" t="str">
        <f>VLOOKUP(A608,Sheet9!$A:$F,6,FALSE)</f>
        <v>For Sale</v>
      </c>
      <c r="L608" s="9">
        <f t="shared" si="9"/>
        <v>2</v>
      </c>
    </row>
    <row r="609" spans="1:12" ht="15" thickBot="1">
      <c r="A609" s="31">
        <v>6310105</v>
      </c>
      <c r="B609" s="35">
        <v>11579</v>
      </c>
      <c r="C609" s="35" t="s">
        <v>153</v>
      </c>
      <c r="D609" s="35">
        <v>0</v>
      </c>
      <c r="E609" s="35">
        <v>0</v>
      </c>
      <c r="F609" s="36">
        <v>43649</v>
      </c>
      <c r="G609" s="9">
        <f>VLOOKUP(A609,Sheet9!$A:$F,2,FALSE)</f>
        <v>140000</v>
      </c>
      <c r="H609" s="9" t="str">
        <f>VLOOKUP(A609,Sheet9!$A:$F,3,FALSE )</f>
        <v>Navy Housing Scheme Karsaz</v>
      </c>
      <c r="I609" s="9" t="str">
        <f>VLOOKUP(A609,Sheet9!$A:$F,4,FALSE)</f>
        <v>Karachi</v>
      </c>
      <c r="J609" s="9" t="str">
        <f>VLOOKUP(A609,Sheet9!$A:$F,5,FALSE)</f>
        <v>Sindh</v>
      </c>
      <c r="K609" s="9" t="str">
        <f>VLOOKUP(A609,Sheet9!$A:$F,6,FALSE)</f>
        <v>For Rent</v>
      </c>
      <c r="L609" s="9">
        <f t="shared" si="9"/>
        <v>1</v>
      </c>
    </row>
    <row r="610" spans="1:12" ht="15" thickBot="1">
      <c r="A610" s="31">
        <v>6319714</v>
      </c>
      <c r="B610" s="35">
        <v>8580</v>
      </c>
      <c r="C610" s="35" t="s">
        <v>154</v>
      </c>
      <c r="D610" s="35">
        <v>1</v>
      </c>
      <c r="E610" s="35">
        <v>1</v>
      </c>
      <c r="F610" s="36">
        <v>43654</v>
      </c>
      <c r="G610" s="9">
        <f>VLOOKUP(A610,Sheet9!$A:$F,2,FALSE)</f>
        <v>9000</v>
      </c>
      <c r="H610" s="9" t="str">
        <f>VLOOKUP(A610,Sheet9!$A:$F,3,FALSE )</f>
        <v>Bahria Town Rawalpindi</v>
      </c>
      <c r="I610" s="9" t="str">
        <f>VLOOKUP(A610,Sheet9!$A:$F,4,FALSE)</f>
        <v>Rawalpindi</v>
      </c>
      <c r="J610" s="9" t="str">
        <f>VLOOKUP(A610,Sheet9!$A:$F,5,FALSE)</f>
        <v>Punjab</v>
      </c>
      <c r="K610" s="9" t="str">
        <f>VLOOKUP(A610,Sheet9!$A:$F,6,FALSE)</f>
        <v>For Rent</v>
      </c>
      <c r="L610" s="9">
        <f t="shared" si="9"/>
        <v>2</v>
      </c>
    </row>
    <row r="611" spans="1:12" ht="15" thickBot="1">
      <c r="A611" s="31">
        <v>6321847</v>
      </c>
      <c r="B611" s="35">
        <v>1118</v>
      </c>
      <c r="C611" s="35" t="s">
        <v>158</v>
      </c>
      <c r="D611" s="35">
        <v>0</v>
      </c>
      <c r="E611" s="35">
        <v>1</v>
      </c>
      <c r="F611" s="36">
        <v>43651</v>
      </c>
      <c r="G611" s="9">
        <f>VLOOKUP(A611,Sheet9!$A:$F,2,FALSE)</f>
        <v>7500000</v>
      </c>
      <c r="H611" s="9" t="str">
        <f>VLOOKUP(A611,Sheet9!$A:$F,3,FALSE )</f>
        <v>GT Road</v>
      </c>
      <c r="I611" s="9" t="str">
        <f>VLOOKUP(A611,Sheet9!$A:$F,4,FALSE)</f>
        <v>Rawalpindi</v>
      </c>
      <c r="J611" s="9" t="str">
        <f>VLOOKUP(A611,Sheet9!$A:$F,5,FALSE)</f>
        <v>Punjab</v>
      </c>
      <c r="K611" s="9" t="str">
        <f>VLOOKUP(A611,Sheet9!$A:$F,6,FALSE)</f>
        <v>For Sale</v>
      </c>
      <c r="L611" s="9">
        <f t="shared" si="9"/>
        <v>2</v>
      </c>
    </row>
    <row r="612" spans="1:12" ht="15" thickBot="1">
      <c r="A612" s="31">
        <v>6322068</v>
      </c>
      <c r="B612" s="35">
        <v>1504</v>
      </c>
      <c r="C612" s="35" t="s">
        <v>153</v>
      </c>
      <c r="D612" s="35">
        <v>4</v>
      </c>
      <c r="E612" s="35">
        <v>3</v>
      </c>
      <c r="F612" s="36">
        <v>43648</v>
      </c>
      <c r="G612" s="9">
        <f>VLOOKUP(A612,Sheet9!$A:$F,2,FALSE)</f>
        <v>17500000</v>
      </c>
      <c r="H612" s="9" t="str">
        <f>VLOOKUP(A612,Sheet9!$A:$F,3,FALSE )</f>
        <v>Askari 14</v>
      </c>
      <c r="I612" s="9" t="str">
        <f>VLOOKUP(A612,Sheet9!$A:$F,4,FALSE)</f>
        <v>Rawalpindi</v>
      </c>
      <c r="J612" s="9" t="str">
        <f>VLOOKUP(A612,Sheet9!$A:$F,5,FALSE)</f>
        <v>Punjab</v>
      </c>
      <c r="K612" s="9" t="str">
        <f>VLOOKUP(A612,Sheet9!$A:$F,6,FALSE)</f>
        <v>For Sale</v>
      </c>
      <c r="L612" s="9">
        <f t="shared" si="9"/>
        <v>2</v>
      </c>
    </row>
    <row r="613" spans="1:12" ht="15" thickBot="1">
      <c r="A613" s="31">
        <v>6322102</v>
      </c>
      <c r="B613" s="35">
        <v>1516</v>
      </c>
      <c r="C613" s="35" t="s">
        <v>153</v>
      </c>
      <c r="D613" s="35">
        <v>4</v>
      </c>
      <c r="E613" s="35">
        <v>3</v>
      </c>
      <c r="F613" s="36">
        <v>43662</v>
      </c>
      <c r="G613" s="9">
        <f>VLOOKUP(A613,Sheet9!$A:$F,2,FALSE)</f>
        <v>58000</v>
      </c>
      <c r="H613" s="9" t="str">
        <f>VLOOKUP(A613,Sheet9!$A:$F,3,FALSE )</f>
        <v>Askari 10</v>
      </c>
      <c r="I613" s="9" t="str">
        <f>VLOOKUP(A613,Sheet9!$A:$F,4,FALSE)</f>
        <v>Rawalpindi</v>
      </c>
      <c r="J613" s="9" t="str">
        <f>VLOOKUP(A613,Sheet9!$A:$F,5,FALSE)</f>
        <v>Punjab</v>
      </c>
      <c r="K613" s="9" t="str">
        <f>VLOOKUP(A613,Sheet9!$A:$F,6,FALSE)</f>
        <v>For Rent</v>
      </c>
      <c r="L613" s="9">
        <f t="shared" si="9"/>
        <v>2</v>
      </c>
    </row>
    <row r="614" spans="1:12" ht="15" thickBot="1">
      <c r="A614" s="31">
        <v>6322136</v>
      </c>
      <c r="B614" s="35">
        <v>1515</v>
      </c>
      <c r="C614" s="35" t="s">
        <v>153</v>
      </c>
      <c r="D614" s="35">
        <v>6</v>
      </c>
      <c r="E614" s="35">
        <v>5</v>
      </c>
      <c r="F614" s="36">
        <v>43644</v>
      </c>
      <c r="G614" s="9">
        <f>VLOOKUP(A614,Sheet9!$A:$F,2,FALSE)</f>
        <v>65000</v>
      </c>
      <c r="H614" s="9" t="str">
        <f>VLOOKUP(A614,Sheet9!$A:$F,3,FALSE )</f>
        <v>Askari 13</v>
      </c>
      <c r="I614" s="9" t="str">
        <f>VLOOKUP(A614,Sheet9!$A:$F,4,FALSE)</f>
        <v>Rawalpindi</v>
      </c>
      <c r="J614" s="9" t="str">
        <f>VLOOKUP(A614,Sheet9!$A:$F,5,FALSE)</f>
        <v>Punjab</v>
      </c>
      <c r="K614" s="9" t="str">
        <f>VLOOKUP(A614,Sheet9!$A:$F,6,FALSE)</f>
        <v>For Rent</v>
      </c>
      <c r="L614" s="9">
        <f t="shared" si="9"/>
        <v>2</v>
      </c>
    </row>
    <row r="615" spans="1:12" ht="15" thickBot="1">
      <c r="A615" s="31">
        <v>6322389</v>
      </c>
      <c r="B615" s="35">
        <v>3070</v>
      </c>
      <c r="C615" s="35" t="s">
        <v>153</v>
      </c>
      <c r="D615" s="35">
        <v>5</v>
      </c>
      <c r="E615" s="35">
        <v>4</v>
      </c>
      <c r="F615" s="36">
        <v>43482</v>
      </c>
      <c r="G615" s="9">
        <f>VLOOKUP(A615,Sheet9!$A:$F,2,FALSE)</f>
        <v>12000000</v>
      </c>
      <c r="H615" s="9" t="str">
        <f>VLOOKUP(A615,Sheet9!$A:$F,3,FALSE )</f>
        <v>Bahria Town Rawalpindi</v>
      </c>
      <c r="I615" s="9" t="str">
        <f>VLOOKUP(A615,Sheet9!$A:$F,4,FALSE)</f>
        <v>Rawalpindi</v>
      </c>
      <c r="J615" s="9" t="str">
        <f>VLOOKUP(A615,Sheet9!$A:$F,5,FALSE)</f>
        <v>Punjab</v>
      </c>
      <c r="K615" s="9" t="str">
        <f>VLOOKUP(A615,Sheet9!$A:$F,6,FALSE)</f>
        <v>For Sale</v>
      </c>
      <c r="L615" s="9">
        <f t="shared" si="9"/>
        <v>2</v>
      </c>
    </row>
    <row r="616" spans="1:12" ht="15" thickBot="1">
      <c r="A616" s="31">
        <v>6334627</v>
      </c>
      <c r="B616" s="35">
        <v>10371</v>
      </c>
      <c r="C616" s="35" t="s">
        <v>154</v>
      </c>
      <c r="D616" s="35">
        <v>2</v>
      </c>
      <c r="E616" s="35">
        <v>3</v>
      </c>
      <c r="F616" s="36">
        <v>43647</v>
      </c>
      <c r="G616" s="9">
        <f>VLOOKUP(A616,Sheet9!$A:$F,2,FALSE)</f>
        <v>7800000</v>
      </c>
      <c r="H616" s="9" t="str">
        <f>VLOOKUP(A616,Sheet9!$A:$F,3,FALSE )</f>
        <v>DHA Defence</v>
      </c>
      <c r="I616" s="9" t="str">
        <f>VLOOKUP(A616,Sheet9!$A:$F,4,FALSE)</f>
        <v>Karachi</v>
      </c>
      <c r="J616" s="9" t="str">
        <f>VLOOKUP(A616,Sheet9!$A:$F,5,FALSE)</f>
        <v>Sindh</v>
      </c>
      <c r="K616" s="9" t="str">
        <f>VLOOKUP(A616,Sheet9!$A:$F,6,FALSE)</f>
        <v>For Sale</v>
      </c>
      <c r="L616" s="9">
        <f t="shared" si="9"/>
        <v>1</v>
      </c>
    </row>
    <row r="617" spans="1:12" ht="29.5" thickBot="1">
      <c r="A617" s="31">
        <v>6335676</v>
      </c>
      <c r="B617" s="35">
        <v>3282</v>
      </c>
      <c r="C617" s="35" t="s">
        <v>155</v>
      </c>
      <c r="D617" s="35">
        <v>4</v>
      </c>
      <c r="E617" s="35">
        <v>4</v>
      </c>
      <c r="F617" s="36">
        <v>43643</v>
      </c>
      <c r="G617" s="9">
        <f>VLOOKUP(A617,Sheet9!$A:$F,2,FALSE)</f>
        <v>90000</v>
      </c>
      <c r="H617" s="9" t="str">
        <f>VLOOKUP(A617,Sheet9!$A:$F,3,FALSE )</f>
        <v>F-11</v>
      </c>
      <c r="I617" s="9" t="str">
        <f>VLOOKUP(A617,Sheet9!$A:$F,4,FALSE)</f>
        <v>Islamabad</v>
      </c>
      <c r="J617" s="9" t="str">
        <f>VLOOKUP(A617,Sheet9!$A:$F,5,FALSE)</f>
        <v>Islamabad Capital</v>
      </c>
      <c r="K617" s="9" t="str">
        <f>VLOOKUP(A617,Sheet9!$A:$F,6,FALSE)</f>
        <v>For Rent</v>
      </c>
      <c r="L617" s="9">
        <f t="shared" si="9"/>
        <v>3</v>
      </c>
    </row>
    <row r="618" spans="1:12" ht="15" thickBot="1">
      <c r="A618" s="31">
        <v>6346262</v>
      </c>
      <c r="B618" s="35">
        <v>3041</v>
      </c>
      <c r="C618" s="35" t="s">
        <v>153</v>
      </c>
      <c r="D618" s="35">
        <v>6</v>
      </c>
      <c r="E618" s="35">
        <v>5</v>
      </c>
      <c r="F618" s="36">
        <v>43590</v>
      </c>
      <c r="G618" s="9">
        <f>VLOOKUP(A618,Sheet9!$A:$F,2,FALSE)</f>
        <v>23500000</v>
      </c>
      <c r="H618" s="9" t="str">
        <f>VLOOKUP(A618,Sheet9!$A:$F,3,FALSE )</f>
        <v>Bahria Town Rawalpindi</v>
      </c>
      <c r="I618" s="9" t="str">
        <f>VLOOKUP(A618,Sheet9!$A:$F,4,FALSE)</f>
        <v>Rawalpindi</v>
      </c>
      <c r="J618" s="9" t="str">
        <f>VLOOKUP(A618,Sheet9!$A:$F,5,FALSE)</f>
        <v>Punjab</v>
      </c>
      <c r="K618" s="9" t="str">
        <f>VLOOKUP(A618,Sheet9!$A:$F,6,FALSE)</f>
        <v>For Sale</v>
      </c>
      <c r="L618" s="9">
        <f t="shared" si="9"/>
        <v>2</v>
      </c>
    </row>
    <row r="619" spans="1:12" ht="15" thickBot="1">
      <c r="A619" s="31">
        <v>6346351</v>
      </c>
      <c r="B619" s="35">
        <v>3035</v>
      </c>
      <c r="C619" s="35" t="s">
        <v>153</v>
      </c>
      <c r="D619" s="35">
        <v>6</v>
      </c>
      <c r="E619" s="35">
        <v>5</v>
      </c>
      <c r="F619" s="36">
        <v>43649</v>
      </c>
      <c r="G619" s="9">
        <f>VLOOKUP(A619,Sheet9!$A:$F,2,FALSE)</f>
        <v>27500000</v>
      </c>
      <c r="H619" s="9" t="str">
        <f>VLOOKUP(A619,Sheet9!$A:$F,3,FALSE )</f>
        <v>Bahria Town Rawalpindi</v>
      </c>
      <c r="I619" s="9" t="str">
        <f>VLOOKUP(A619,Sheet9!$A:$F,4,FALSE)</f>
        <v>Rawalpindi</v>
      </c>
      <c r="J619" s="9" t="str">
        <f>VLOOKUP(A619,Sheet9!$A:$F,5,FALSE)</f>
        <v>Punjab</v>
      </c>
      <c r="K619" s="9" t="str">
        <f>VLOOKUP(A619,Sheet9!$A:$F,6,FALSE)</f>
        <v>For Sale</v>
      </c>
      <c r="L619" s="9">
        <f t="shared" si="9"/>
        <v>2</v>
      </c>
    </row>
    <row r="620" spans="1:12" ht="29.5" thickBot="1">
      <c r="A620" s="31">
        <v>6347070</v>
      </c>
      <c r="B620" s="35">
        <v>163</v>
      </c>
      <c r="C620" s="35" t="s">
        <v>156</v>
      </c>
      <c r="D620" s="35">
        <v>3</v>
      </c>
      <c r="E620" s="35">
        <v>3</v>
      </c>
      <c r="F620" s="36">
        <v>43649</v>
      </c>
      <c r="G620" s="9">
        <f>VLOOKUP(A620,Sheet9!$A:$F,2,FALSE)</f>
        <v>110000</v>
      </c>
      <c r="H620" s="9" t="str">
        <f>VLOOKUP(A620,Sheet9!$A:$F,3,FALSE )</f>
        <v>F-11</v>
      </c>
      <c r="I620" s="9" t="str">
        <f>VLOOKUP(A620,Sheet9!$A:$F,4,FALSE)</f>
        <v>Islamabad</v>
      </c>
      <c r="J620" s="9" t="str">
        <f>VLOOKUP(A620,Sheet9!$A:$F,5,FALSE)</f>
        <v>Islamabad Capital</v>
      </c>
      <c r="K620" s="9" t="str">
        <f>VLOOKUP(A620,Sheet9!$A:$F,6,FALSE)</f>
        <v>For Rent</v>
      </c>
      <c r="L620" s="9">
        <f t="shared" si="9"/>
        <v>3</v>
      </c>
    </row>
    <row r="621" spans="1:12" ht="15" thickBot="1">
      <c r="A621" s="31">
        <v>6356275</v>
      </c>
      <c r="B621" s="35">
        <v>340</v>
      </c>
      <c r="C621" s="35" t="s">
        <v>153</v>
      </c>
      <c r="D621" s="35">
        <v>5</v>
      </c>
      <c r="E621" s="35">
        <v>5</v>
      </c>
      <c r="F621" s="36">
        <v>43629</v>
      </c>
      <c r="G621" s="9">
        <f>VLOOKUP(A621,Sheet9!$A:$F,2,FALSE)</f>
        <v>8500000</v>
      </c>
      <c r="H621" s="9" t="str">
        <f>VLOOKUP(A621,Sheet9!$A:$F,3,FALSE )</f>
        <v>Bani Gala</v>
      </c>
      <c r="I621" s="9" t="str">
        <f>VLOOKUP(A621,Sheet9!$A:$F,4,FALSE)</f>
        <v>Islamabad</v>
      </c>
      <c r="J621" s="9" t="str">
        <f>VLOOKUP(A621,Sheet9!$A:$F,5,FALSE)</f>
        <v>Islamabad Capital</v>
      </c>
      <c r="K621" s="9" t="str">
        <f>VLOOKUP(A621,Sheet9!$A:$F,6,FALSE)</f>
        <v>For Sale</v>
      </c>
      <c r="L621" s="9">
        <f t="shared" si="9"/>
        <v>3</v>
      </c>
    </row>
    <row r="622" spans="1:12" ht="15" thickBot="1">
      <c r="A622" s="31">
        <v>6364276</v>
      </c>
      <c r="B622" s="35">
        <v>10237</v>
      </c>
      <c r="C622" s="35" t="s">
        <v>153</v>
      </c>
      <c r="D622" s="35">
        <v>6</v>
      </c>
      <c r="E622" s="35">
        <v>6</v>
      </c>
      <c r="F622" s="36">
        <v>43664</v>
      </c>
      <c r="G622" s="9">
        <f>VLOOKUP(A622,Sheet9!$A:$F,2,FALSE)</f>
        <v>35000000</v>
      </c>
      <c r="H622" s="9" t="str">
        <f>VLOOKUP(A622,Sheet9!$A:$F,3,FALSE )</f>
        <v>Satellite Town</v>
      </c>
      <c r="I622" s="9" t="str">
        <f>VLOOKUP(A622,Sheet9!$A:$F,4,FALSE)</f>
        <v>Rawalpindi</v>
      </c>
      <c r="J622" s="9" t="str">
        <f>VLOOKUP(A622,Sheet9!$A:$F,5,FALSE)</f>
        <v>Punjab</v>
      </c>
      <c r="K622" s="9" t="str">
        <f>VLOOKUP(A622,Sheet9!$A:$F,6,FALSE)</f>
        <v>For Sale</v>
      </c>
      <c r="L622" s="9">
        <f t="shared" si="9"/>
        <v>2</v>
      </c>
    </row>
    <row r="623" spans="1:12" ht="15" thickBot="1">
      <c r="A623" s="31">
        <v>6365163</v>
      </c>
      <c r="B623" s="35">
        <v>8491</v>
      </c>
      <c r="C623" s="35" t="s">
        <v>154</v>
      </c>
      <c r="D623" s="35">
        <v>3</v>
      </c>
      <c r="E623" s="35">
        <v>3</v>
      </c>
      <c r="F623" s="36">
        <v>43630</v>
      </c>
      <c r="G623" s="9">
        <f>VLOOKUP(A623,Sheet9!$A:$F,2,FALSE)</f>
        <v>22500000</v>
      </c>
      <c r="H623" s="9" t="str">
        <f>VLOOKUP(A623,Sheet9!$A:$F,3,FALSE )</f>
        <v>DHA Defence</v>
      </c>
      <c r="I623" s="9" t="str">
        <f>VLOOKUP(A623,Sheet9!$A:$F,4,FALSE)</f>
        <v>Karachi</v>
      </c>
      <c r="J623" s="9" t="str">
        <f>VLOOKUP(A623,Sheet9!$A:$F,5,FALSE)</f>
        <v>Sindh</v>
      </c>
      <c r="K623" s="9" t="str">
        <f>VLOOKUP(A623,Sheet9!$A:$F,6,FALSE)</f>
        <v>For Sale</v>
      </c>
      <c r="L623" s="9">
        <f t="shared" si="9"/>
        <v>1</v>
      </c>
    </row>
    <row r="624" spans="1:12" ht="15" thickBot="1">
      <c r="A624" s="31">
        <v>6365357</v>
      </c>
      <c r="B624" s="35">
        <v>4190</v>
      </c>
      <c r="C624" s="35" t="s">
        <v>153</v>
      </c>
      <c r="D624" s="35">
        <v>6</v>
      </c>
      <c r="E624" s="35">
        <v>5</v>
      </c>
      <c r="F624" s="36">
        <v>43646</v>
      </c>
      <c r="G624" s="9">
        <f>VLOOKUP(A624,Sheet9!$A:$F,2,FALSE)</f>
        <v>32500000</v>
      </c>
      <c r="H624" s="9" t="str">
        <f>VLOOKUP(A624,Sheet9!$A:$F,3,FALSE )</f>
        <v>State Life Housing Society</v>
      </c>
      <c r="I624" s="9" t="str">
        <f>VLOOKUP(A624,Sheet9!$A:$F,4,FALSE)</f>
        <v>Lahore</v>
      </c>
      <c r="J624" s="9" t="str">
        <f>VLOOKUP(A624,Sheet9!$A:$F,5,FALSE)</f>
        <v>Punjab</v>
      </c>
      <c r="K624" s="9" t="str">
        <f>VLOOKUP(A624,Sheet9!$A:$F,6,FALSE)</f>
        <v>For Sale</v>
      </c>
      <c r="L624" s="9">
        <f t="shared" si="9"/>
        <v>2</v>
      </c>
    </row>
    <row r="625" spans="1:12" ht="15" thickBot="1">
      <c r="A625" s="31">
        <v>6365556</v>
      </c>
      <c r="B625" s="35">
        <v>4190</v>
      </c>
      <c r="C625" s="35" t="s">
        <v>153</v>
      </c>
      <c r="D625" s="35">
        <v>6</v>
      </c>
      <c r="E625" s="35">
        <v>5</v>
      </c>
      <c r="F625" s="36">
        <v>43644</v>
      </c>
      <c r="G625" s="9">
        <f>VLOOKUP(A625,Sheet9!$A:$F,2,FALSE)</f>
        <v>34000000</v>
      </c>
      <c r="H625" s="9" t="str">
        <f>VLOOKUP(A625,Sheet9!$A:$F,3,FALSE )</f>
        <v>State Life Housing Society</v>
      </c>
      <c r="I625" s="9" t="str">
        <f>VLOOKUP(A625,Sheet9!$A:$F,4,FALSE)</f>
        <v>Lahore</v>
      </c>
      <c r="J625" s="9" t="str">
        <f>VLOOKUP(A625,Sheet9!$A:$F,5,FALSE)</f>
        <v>Punjab</v>
      </c>
      <c r="K625" s="9" t="str">
        <f>VLOOKUP(A625,Sheet9!$A:$F,6,FALSE)</f>
        <v>For Sale</v>
      </c>
      <c r="L625" s="9">
        <f t="shared" si="9"/>
        <v>2</v>
      </c>
    </row>
    <row r="626" spans="1:12" ht="15" thickBot="1">
      <c r="A626" s="31">
        <v>6366202</v>
      </c>
      <c r="B626" s="35">
        <v>1664</v>
      </c>
      <c r="C626" s="35" t="s">
        <v>154</v>
      </c>
      <c r="D626" s="35">
        <v>4</v>
      </c>
      <c r="E626" s="35">
        <v>4</v>
      </c>
      <c r="F626" s="36">
        <v>43646</v>
      </c>
      <c r="G626" s="9">
        <f>VLOOKUP(A626,Sheet9!$A:$F,2,FALSE)</f>
        <v>103500000</v>
      </c>
      <c r="H626" s="9" t="str">
        <f>VLOOKUP(A626,Sheet9!$A:$F,3,FALSE )</f>
        <v>Clifton</v>
      </c>
      <c r="I626" s="9" t="str">
        <f>VLOOKUP(A626,Sheet9!$A:$F,4,FALSE)</f>
        <v>Karachi</v>
      </c>
      <c r="J626" s="9" t="str">
        <f>VLOOKUP(A626,Sheet9!$A:$F,5,FALSE)</f>
        <v>Sindh</v>
      </c>
      <c r="K626" s="9" t="str">
        <f>VLOOKUP(A626,Sheet9!$A:$F,6,FALSE)</f>
        <v>For Sale</v>
      </c>
      <c r="L626" s="9">
        <f t="shared" si="9"/>
        <v>1</v>
      </c>
    </row>
    <row r="627" spans="1:12" ht="15" thickBot="1">
      <c r="A627" s="31">
        <v>6366312</v>
      </c>
      <c r="B627" s="35">
        <v>10610</v>
      </c>
      <c r="C627" s="35" t="s">
        <v>153</v>
      </c>
      <c r="D627" s="35">
        <v>3</v>
      </c>
      <c r="E627" s="35">
        <v>3</v>
      </c>
      <c r="F627" s="36">
        <v>43530</v>
      </c>
      <c r="G627" s="9">
        <f>VLOOKUP(A627,Sheet9!$A:$F,2,FALSE)</f>
        <v>11000000</v>
      </c>
      <c r="H627" s="9" t="str">
        <f>VLOOKUP(A627,Sheet9!$A:$F,3,FALSE )</f>
        <v>Bahria Town Rawalpindi</v>
      </c>
      <c r="I627" s="9" t="str">
        <f>VLOOKUP(A627,Sheet9!$A:$F,4,FALSE)</f>
        <v>Rawalpindi</v>
      </c>
      <c r="J627" s="9" t="str">
        <f>VLOOKUP(A627,Sheet9!$A:$F,5,FALSE)</f>
        <v>Punjab</v>
      </c>
      <c r="K627" s="9" t="str">
        <f>VLOOKUP(A627,Sheet9!$A:$F,6,FALSE)</f>
        <v>For Sale</v>
      </c>
      <c r="L627" s="9">
        <f t="shared" si="9"/>
        <v>2</v>
      </c>
    </row>
    <row r="628" spans="1:12" ht="15" thickBot="1">
      <c r="A628" s="31">
        <v>6366598</v>
      </c>
      <c r="B628" s="35">
        <v>8503</v>
      </c>
      <c r="C628" s="35" t="s">
        <v>154</v>
      </c>
      <c r="D628" s="35">
        <v>2</v>
      </c>
      <c r="E628" s="35">
        <v>2</v>
      </c>
      <c r="F628" s="36">
        <v>43646</v>
      </c>
      <c r="G628" s="9">
        <f>VLOOKUP(A628,Sheet9!$A:$F,2,FALSE)</f>
        <v>30000000</v>
      </c>
      <c r="H628" s="9" t="str">
        <f>VLOOKUP(A628,Sheet9!$A:$F,3,FALSE )</f>
        <v>DHA Defence</v>
      </c>
      <c r="I628" s="9" t="str">
        <f>VLOOKUP(A628,Sheet9!$A:$F,4,FALSE)</f>
        <v>Karachi</v>
      </c>
      <c r="J628" s="9" t="str">
        <f>VLOOKUP(A628,Sheet9!$A:$F,5,FALSE)</f>
        <v>Sindh</v>
      </c>
      <c r="K628" s="9" t="str">
        <f>VLOOKUP(A628,Sheet9!$A:$F,6,FALSE)</f>
        <v>For Sale</v>
      </c>
      <c r="L628" s="9">
        <f t="shared" si="9"/>
        <v>1</v>
      </c>
    </row>
    <row r="629" spans="1:12" ht="15" thickBot="1">
      <c r="A629" s="31">
        <v>6366697</v>
      </c>
      <c r="B629" s="35">
        <v>1485</v>
      </c>
      <c r="C629" s="35" t="s">
        <v>154</v>
      </c>
      <c r="D629" s="35">
        <v>4</v>
      </c>
      <c r="E629" s="35">
        <v>4</v>
      </c>
      <c r="F629" s="36">
        <v>43646</v>
      </c>
      <c r="G629" s="9">
        <f>VLOOKUP(A629,Sheet9!$A:$F,2,FALSE)</f>
        <v>53000000</v>
      </c>
      <c r="H629" s="9" t="str">
        <f>VLOOKUP(A629,Sheet9!$A:$F,3,FALSE )</f>
        <v>DHA Defence</v>
      </c>
      <c r="I629" s="9" t="str">
        <f>VLOOKUP(A629,Sheet9!$A:$F,4,FALSE)</f>
        <v>Karachi</v>
      </c>
      <c r="J629" s="9" t="str">
        <f>VLOOKUP(A629,Sheet9!$A:$F,5,FALSE)</f>
        <v>Sindh</v>
      </c>
      <c r="K629" s="9" t="str">
        <f>VLOOKUP(A629,Sheet9!$A:$F,6,FALSE)</f>
        <v>For Sale</v>
      </c>
      <c r="L629" s="9">
        <f t="shared" si="9"/>
        <v>1</v>
      </c>
    </row>
    <row r="630" spans="1:12" ht="15" thickBot="1">
      <c r="A630" s="31">
        <v>6369112</v>
      </c>
      <c r="B630" s="35">
        <v>7214</v>
      </c>
      <c r="C630" s="35" t="s">
        <v>153</v>
      </c>
      <c r="D630" s="35">
        <v>2</v>
      </c>
      <c r="E630" s="35">
        <v>3</v>
      </c>
      <c r="F630" s="36">
        <v>43656</v>
      </c>
      <c r="G630" s="9">
        <f>VLOOKUP(A630,Sheet9!$A:$F,2,FALSE)</f>
        <v>6500000</v>
      </c>
      <c r="H630" s="9" t="str">
        <f>VLOOKUP(A630,Sheet9!$A:$F,3,FALSE )</f>
        <v>North Nazimabad</v>
      </c>
      <c r="I630" s="9" t="str">
        <f>VLOOKUP(A630,Sheet9!$A:$F,4,FALSE)</f>
        <v>Karachi</v>
      </c>
      <c r="J630" s="9" t="str">
        <f>VLOOKUP(A630,Sheet9!$A:$F,5,FALSE)</f>
        <v>Sindh</v>
      </c>
      <c r="K630" s="9" t="str">
        <f>VLOOKUP(A630,Sheet9!$A:$F,6,FALSE)</f>
        <v>For Sale</v>
      </c>
      <c r="L630" s="9">
        <f t="shared" si="9"/>
        <v>1</v>
      </c>
    </row>
    <row r="631" spans="1:12" ht="15" thickBot="1">
      <c r="A631" s="31">
        <v>6373398</v>
      </c>
      <c r="B631" s="35">
        <v>496</v>
      </c>
      <c r="C631" s="35" t="s">
        <v>153</v>
      </c>
      <c r="D631" s="35">
        <v>5</v>
      </c>
      <c r="E631" s="35">
        <v>5</v>
      </c>
      <c r="F631" s="36">
        <v>43649</v>
      </c>
      <c r="G631" s="9">
        <f>VLOOKUP(A631,Sheet9!$A:$F,2,FALSE)</f>
        <v>52500000</v>
      </c>
      <c r="H631" s="9" t="str">
        <f>VLOOKUP(A631,Sheet9!$A:$F,3,FALSE )</f>
        <v>Mozang</v>
      </c>
      <c r="I631" s="9" t="str">
        <f>VLOOKUP(A631,Sheet9!$A:$F,4,FALSE)</f>
        <v>Lahore</v>
      </c>
      <c r="J631" s="9" t="str">
        <f>VLOOKUP(A631,Sheet9!$A:$F,5,FALSE)</f>
        <v>Punjab</v>
      </c>
      <c r="K631" s="9" t="str">
        <f>VLOOKUP(A631,Sheet9!$A:$F,6,FALSE)</f>
        <v>For Sale</v>
      </c>
      <c r="L631" s="9">
        <f t="shared" si="9"/>
        <v>2</v>
      </c>
    </row>
    <row r="632" spans="1:12" ht="15" thickBot="1">
      <c r="A632" s="31">
        <v>6380335</v>
      </c>
      <c r="B632" s="35">
        <v>1485</v>
      </c>
      <c r="C632" s="35" t="s">
        <v>154</v>
      </c>
      <c r="D632" s="35">
        <v>5</v>
      </c>
      <c r="E632" s="35">
        <v>4</v>
      </c>
      <c r="F632" s="36">
        <v>43646</v>
      </c>
      <c r="G632" s="9">
        <f>VLOOKUP(A632,Sheet9!$A:$F,2,FALSE)</f>
        <v>55000000</v>
      </c>
      <c r="H632" s="9" t="str">
        <f>VLOOKUP(A632,Sheet9!$A:$F,3,FALSE )</f>
        <v>DHA Defence</v>
      </c>
      <c r="I632" s="9" t="str">
        <f>VLOOKUP(A632,Sheet9!$A:$F,4,FALSE)</f>
        <v>Karachi</v>
      </c>
      <c r="J632" s="9" t="str">
        <f>VLOOKUP(A632,Sheet9!$A:$F,5,FALSE)</f>
        <v>Sindh</v>
      </c>
      <c r="K632" s="9" t="str">
        <f>VLOOKUP(A632,Sheet9!$A:$F,6,FALSE)</f>
        <v>For Sale</v>
      </c>
      <c r="L632" s="9">
        <f t="shared" si="9"/>
        <v>1</v>
      </c>
    </row>
    <row r="633" spans="1:12" ht="15" thickBot="1">
      <c r="A633" s="31">
        <v>6381308</v>
      </c>
      <c r="B633" s="35">
        <v>6834</v>
      </c>
      <c r="C633" s="35" t="s">
        <v>154</v>
      </c>
      <c r="D633" s="35">
        <v>3</v>
      </c>
      <c r="E633" s="35">
        <v>3</v>
      </c>
      <c r="F633" s="36">
        <v>43630</v>
      </c>
      <c r="G633" s="9">
        <f>VLOOKUP(A633,Sheet9!$A:$F,2,FALSE)</f>
        <v>8000000</v>
      </c>
      <c r="H633" s="9" t="str">
        <f>VLOOKUP(A633,Sheet9!$A:$F,3,FALSE )</f>
        <v>Gulistan-e-Jauhar</v>
      </c>
      <c r="I633" s="9" t="str">
        <f>VLOOKUP(A633,Sheet9!$A:$F,4,FALSE)</f>
        <v>Karachi</v>
      </c>
      <c r="J633" s="9" t="str">
        <f>VLOOKUP(A633,Sheet9!$A:$F,5,FALSE)</f>
        <v>Sindh</v>
      </c>
      <c r="K633" s="9" t="str">
        <f>VLOOKUP(A633,Sheet9!$A:$F,6,FALSE)</f>
        <v>For Sale</v>
      </c>
      <c r="L633" s="9">
        <f t="shared" si="9"/>
        <v>1</v>
      </c>
    </row>
    <row r="634" spans="1:12" ht="15" thickBot="1">
      <c r="A634" s="31">
        <v>6382328</v>
      </c>
      <c r="B634" s="35">
        <v>8491</v>
      </c>
      <c r="C634" s="35" t="s">
        <v>154</v>
      </c>
      <c r="D634" s="35">
        <v>3</v>
      </c>
      <c r="E634" s="35">
        <v>3</v>
      </c>
      <c r="F634" s="36">
        <v>43623</v>
      </c>
      <c r="G634" s="9">
        <f>VLOOKUP(A634,Sheet9!$A:$F,2,FALSE)</f>
        <v>15000000</v>
      </c>
      <c r="H634" s="9" t="str">
        <f>VLOOKUP(A634,Sheet9!$A:$F,3,FALSE )</f>
        <v>DHA Defence</v>
      </c>
      <c r="I634" s="9" t="str">
        <f>VLOOKUP(A634,Sheet9!$A:$F,4,FALSE)</f>
        <v>Karachi</v>
      </c>
      <c r="J634" s="9" t="str">
        <f>VLOOKUP(A634,Sheet9!$A:$F,5,FALSE)</f>
        <v>Sindh</v>
      </c>
      <c r="K634" s="9" t="str">
        <f>VLOOKUP(A634,Sheet9!$A:$F,6,FALSE)</f>
        <v>For Sale</v>
      </c>
      <c r="L634" s="9">
        <f t="shared" si="9"/>
        <v>1</v>
      </c>
    </row>
    <row r="635" spans="1:12" ht="15" thickBot="1">
      <c r="A635" s="31">
        <v>6382337</v>
      </c>
      <c r="B635" s="35">
        <v>8491</v>
      </c>
      <c r="C635" s="35" t="s">
        <v>154</v>
      </c>
      <c r="D635" s="35">
        <v>4</v>
      </c>
      <c r="E635" s="35">
        <v>3</v>
      </c>
      <c r="F635" s="36">
        <v>43630</v>
      </c>
      <c r="G635" s="9">
        <f>VLOOKUP(A635,Sheet9!$A:$F,2,FALSE)</f>
        <v>22500000</v>
      </c>
      <c r="H635" s="9" t="str">
        <f>VLOOKUP(A635,Sheet9!$A:$F,3,FALSE )</f>
        <v>DHA Defence</v>
      </c>
      <c r="I635" s="9" t="str">
        <f>VLOOKUP(A635,Sheet9!$A:$F,4,FALSE)</f>
        <v>Karachi</v>
      </c>
      <c r="J635" s="9" t="str">
        <f>VLOOKUP(A635,Sheet9!$A:$F,5,FALSE)</f>
        <v>Sindh</v>
      </c>
      <c r="K635" s="9" t="str">
        <f>VLOOKUP(A635,Sheet9!$A:$F,6,FALSE)</f>
        <v>For Sale</v>
      </c>
      <c r="L635" s="9">
        <f t="shared" si="9"/>
        <v>1</v>
      </c>
    </row>
    <row r="636" spans="1:12" ht="15" thickBot="1">
      <c r="A636" s="31">
        <v>6382347</v>
      </c>
      <c r="B636" s="35">
        <v>1481</v>
      </c>
      <c r="C636" s="35" t="s">
        <v>154</v>
      </c>
      <c r="D636" s="35">
        <v>4</v>
      </c>
      <c r="E636" s="35">
        <v>3</v>
      </c>
      <c r="F636" s="36">
        <v>43630</v>
      </c>
      <c r="G636" s="9">
        <f>VLOOKUP(A636,Sheet9!$A:$F,2,FALSE)</f>
        <v>32500000</v>
      </c>
      <c r="H636" s="9" t="str">
        <f>VLOOKUP(A636,Sheet9!$A:$F,3,FALSE )</f>
        <v>DHA Defence</v>
      </c>
      <c r="I636" s="9" t="str">
        <f>VLOOKUP(A636,Sheet9!$A:$F,4,FALSE)</f>
        <v>Karachi</v>
      </c>
      <c r="J636" s="9" t="str">
        <f>VLOOKUP(A636,Sheet9!$A:$F,5,FALSE)</f>
        <v>Sindh</v>
      </c>
      <c r="K636" s="9" t="str">
        <f>VLOOKUP(A636,Sheet9!$A:$F,6,FALSE)</f>
        <v>For Sale</v>
      </c>
      <c r="L636" s="9">
        <f t="shared" si="9"/>
        <v>1</v>
      </c>
    </row>
    <row r="637" spans="1:12" ht="15" thickBot="1">
      <c r="A637" s="31">
        <v>6390122</v>
      </c>
      <c r="B637" s="35">
        <v>6834</v>
      </c>
      <c r="C637" s="35" t="s">
        <v>154</v>
      </c>
      <c r="D637" s="35">
        <v>3</v>
      </c>
      <c r="E637" s="35">
        <v>3</v>
      </c>
      <c r="F637" s="36">
        <v>43630</v>
      </c>
      <c r="G637" s="9">
        <f>VLOOKUP(A637,Sheet9!$A:$F,2,FALSE)</f>
        <v>8000000</v>
      </c>
      <c r="H637" s="9" t="str">
        <f>VLOOKUP(A637,Sheet9!$A:$F,3,FALSE )</f>
        <v>Gulistan-e-Jauhar</v>
      </c>
      <c r="I637" s="9" t="str">
        <f>VLOOKUP(A637,Sheet9!$A:$F,4,FALSE)</f>
        <v>Karachi</v>
      </c>
      <c r="J637" s="9" t="str">
        <f>VLOOKUP(A637,Sheet9!$A:$F,5,FALSE)</f>
        <v>Sindh</v>
      </c>
      <c r="K637" s="9" t="str">
        <f>VLOOKUP(A637,Sheet9!$A:$F,6,FALSE)</f>
        <v>For Sale</v>
      </c>
      <c r="L637" s="9">
        <f t="shared" si="9"/>
        <v>1</v>
      </c>
    </row>
    <row r="638" spans="1:12" ht="15" thickBot="1">
      <c r="A638" s="31">
        <v>6395780</v>
      </c>
      <c r="B638" s="35">
        <v>1485</v>
      </c>
      <c r="C638" s="35" t="s">
        <v>153</v>
      </c>
      <c r="D638" s="35">
        <v>5</v>
      </c>
      <c r="E638" s="35">
        <v>4</v>
      </c>
      <c r="F638" s="36">
        <v>43630</v>
      </c>
      <c r="G638" s="9">
        <f>VLOOKUP(A638,Sheet9!$A:$F,2,FALSE)</f>
        <v>43500000</v>
      </c>
      <c r="H638" s="9" t="str">
        <f>VLOOKUP(A638,Sheet9!$A:$F,3,FALSE )</f>
        <v>DHA Defence</v>
      </c>
      <c r="I638" s="9" t="str">
        <f>VLOOKUP(A638,Sheet9!$A:$F,4,FALSE)</f>
        <v>Karachi</v>
      </c>
      <c r="J638" s="9" t="str">
        <f>VLOOKUP(A638,Sheet9!$A:$F,5,FALSE)</f>
        <v>Sindh</v>
      </c>
      <c r="K638" s="9" t="str">
        <f>VLOOKUP(A638,Sheet9!$A:$F,6,FALSE)</f>
        <v>For Sale</v>
      </c>
      <c r="L638" s="9">
        <f t="shared" si="9"/>
        <v>1</v>
      </c>
    </row>
    <row r="639" spans="1:12" ht="15" thickBot="1">
      <c r="A639" s="31">
        <v>6397876</v>
      </c>
      <c r="B639" s="35">
        <v>329</v>
      </c>
      <c r="C639" s="35" t="s">
        <v>154</v>
      </c>
      <c r="D639" s="35">
        <v>1</v>
      </c>
      <c r="E639" s="35">
        <v>1</v>
      </c>
      <c r="F639" s="36">
        <v>43620</v>
      </c>
      <c r="G639" s="9">
        <f>VLOOKUP(A639,Sheet9!$A:$F,2,FALSE)</f>
        <v>25000</v>
      </c>
      <c r="H639" s="9" t="str">
        <f>VLOOKUP(A639,Sheet9!$A:$F,3,FALSE )</f>
        <v>E-11</v>
      </c>
      <c r="I639" s="9" t="str">
        <f>VLOOKUP(A639,Sheet9!$A:$F,4,FALSE)</f>
        <v>Islamabad</v>
      </c>
      <c r="J639" s="9" t="str">
        <f>VLOOKUP(A639,Sheet9!$A:$F,5,FALSE)</f>
        <v>Islamabad Capital</v>
      </c>
      <c r="K639" s="9" t="str">
        <f>VLOOKUP(A639,Sheet9!$A:$F,6,FALSE)</f>
        <v>For Rent</v>
      </c>
      <c r="L639" s="9">
        <f t="shared" si="9"/>
        <v>3</v>
      </c>
    </row>
    <row r="640" spans="1:12" ht="15" thickBot="1">
      <c r="A640" s="31">
        <v>6397877</v>
      </c>
      <c r="B640" s="35">
        <v>329</v>
      </c>
      <c r="C640" s="35" t="s">
        <v>154</v>
      </c>
      <c r="D640" s="35">
        <v>1</v>
      </c>
      <c r="E640" s="35">
        <v>1</v>
      </c>
      <c r="F640" s="36">
        <v>43620</v>
      </c>
      <c r="G640" s="9">
        <f>VLOOKUP(A640,Sheet9!$A:$F,2,FALSE)</f>
        <v>35000</v>
      </c>
      <c r="H640" s="9" t="str">
        <f>VLOOKUP(A640,Sheet9!$A:$F,3,FALSE )</f>
        <v>E-11</v>
      </c>
      <c r="I640" s="9" t="str">
        <f>VLOOKUP(A640,Sheet9!$A:$F,4,FALSE)</f>
        <v>Islamabad</v>
      </c>
      <c r="J640" s="9" t="str">
        <f>VLOOKUP(A640,Sheet9!$A:$F,5,FALSE)</f>
        <v>Islamabad Capital</v>
      </c>
      <c r="K640" s="9" t="str">
        <f>VLOOKUP(A640,Sheet9!$A:$F,6,FALSE)</f>
        <v>For Rent</v>
      </c>
      <c r="L640" s="9">
        <f t="shared" si="9"/>
        <v>3</v>
      </c>
    </row>
    <row r="641" spans="1:12" ht="15" thickBot="1">
      <c r="A641" s="31">
        <v>6397878</v>
      </c>
      <c r="B641" s="35">
        <v>329</v>
      </c>
      <c r="C641" s="35" t="s">
        <v>154</v>
      </c>
      <c r="D641" s="35">
        <v>2</v>
      </c>
      <c r="E641" s="35">
        <v>2</v>
      </c>
      <c r="F641" s="36">
        <v>43620</v>
      </c>
      <c r="G641" s="9">
        <f>VLOOKUP(A641,Sheet9!$A:$F,2,FALSE)</f>
        <v>35000</v>
      </c>
      <c r="H641" s="9" t="str">
        <f>VLOOKUP(A641,Sheet9!$A:$F,3,FALSE )</f>
        <v>E-11</v>
      </c>
      <c r="I641" s="9" t="str">
        <f>VLOOKUP(A641,Sheet9!$A:$F,4,FALSE)</f>
        <v>Islamabad</v>
      </c>
      <c r="J641" s="9" t="str">
        <f>VLOOKUP(A641,Sheet9!$A:$F,5,FALSE)</f>
        <v>Islamabad Capital</v>
      </c>
      <c r="K641" s="9" t="str">
        <f>VLOOKUP(A641,Sheet9!$A:$F,6,FALSE)</f>
        <v>For Rent</v>
      </c>
      <c r="L641" s="9">
        <f t="shared" si="9"/>
        <v>3</v>
      </c>
    </row>
    <row r="642" spans="1:12" ht="29.5" thickBot="1">
      <c r="A642" s="31">
        <v>6409111</v>
      </c>
      <c r="B642" s="35">
        <v>426</v>
      </c>
      <c r="C642" s="35" t="s">
        <v>156</v>
      </c>
      <c r="D642" s="35">
        <v>3</v>
      </c>
      <c r="E642" s="35">
        <v>2</v>
      </c>
      <c r="F642" s="36">
        <v>43654</v>
      </c>
      <c r="G642" s="9">
        <f>VLOOKUP(A642,Sheet9!$A:$F,2,FALSE)</f>
        <v>16000</v>
      </c>
      <c r="H642" s="9" t="str">
        <f>VLOOKUP(A642,Sheet9!$A:$F,3,FALSE )</f>
        <v>Airport Housing Society</v>
      </c>
      <c r="I642" s="9" t="str">
        <f>VLOOKUP(A642,Sheet9!$A:$F,4,FALSE)</f>
        <v>Rawalpindi</v>
      </c>
      <c r="J642" s="9" t="str">
        <f>VLOOKUP(A642,Sheet9!$A:$F,5,FALSE)</f>
        <v>Punjab</v>
      </c>
      <c r="K642" s="9" t="str">
        <f>VLOOKUP(A642,Sheet9!$A:$F,6,FALSE)</f>
        <v>For Rent</v>
      </c>
      <c r="L642" s="9">
        <f t="shared" si="9"/>
        <v>2</v>
      </c>
    </row>
    <row r="643" spans="1:12" ht="15" thickBot="1">
      <c r="A643" s="31">
        <v>6416013</v>
      </c>
      <c r="B643" s="35">
        <v>3824</v>
      </c>
      <c r="C643" s="35" t="s">
        <v>153</v>
      </c>
      <c r="D643" s="35">
        <v>5</v>
      </c>
      <c r="E643" s="35">
        <v>3</v>
      </c>
      <c r="F643" s="36">
        <v>43627</v>
      </c>
      <c r="G643" s="9">
        <f>VLOOKUP(A643,Sheet9!$A:$F,2,FALSE)</f>
        <v>160000000</v>
      </c>
      <c r="H643" s="9" t="str">
        <f>VLOOKUP(A643,Sheet9!$A:$F,3,FALSE )</f>
        <v>Gulberg</v>
      </c>
      <c r="I643" s="9" t="str">
        <f>VLOOKUP(A643,Sheet9!$A:$F,4,FALSE)</f>
        <v>Lahore</v>
      </c>
      <c r="J643" s="9" t="str">
        <f>VLOOKUP(A643,Sheet9!$A:$F,5,FALSE)</f>
        <v>Punjab</v>
      </c>
      <c r="K643" s="9" t="str">
        <f>VLOOKUP(A643,Sheet9!$A:$F,6,FALSE)</f>
        <v>For Sale</v>
      </c>
      <c r="L643" s="9">
        <f t="shared" ref="L643:L706" si="10">HLOOKUP(J643,$N$1:$P$2,2,FALSE)</f>
        <v>2</v>
      </c>
    </row>
    <row r="644" spans="1:12" ht="15" thickBot="1">
      <c r="A644" s="31">
        <v>6421097</v>
      </c>
      <c r="B644" s="35">
        <v>7220</v>
      </c>
      <c r="C644" s="35" t="s">
        <v>153</v>
      </c>
      <c r="D644" s="35">
        <v>8</v>
      </c>
      <c r="E644" s="35">
        <v>8</v>
      </c>
      <c r="F644" s="36">
        <v>43636</v>
      </c>
      <c r="G644" s="9">
        <f>VLOOKUP(A644,Sheet9!$A:$F,2,FALSE)</f>
        <v>72500000</v>
      </c>
      <c r="H644" s="9" t="str">
        <f>VLOOKUP(A644,Sheet9!$A:$F,3,FALSE )</f>
        <v>North Nazimabad</v>
      </c>
      <c r="I644" s="9" t="str">
        <f>VLOOKUP(A644,Sheet9!$A:$F,4,FALSE)</f>
        <v>Karachi</v>
      </c>
      <c r="J644" s="9" t="str">
        <f>VLOOKUP(A644,Sheet9!$A:$F,5,FALSE)</f>
        <v>Sindh</v>
      </c>
      <c r="K644" s="9" t="str">
        <f>VLOOKUP(A644,Sheet9!$A:$F,6,FALSE)</f>
        <v>For Sale</v>
      </c>
      <c r="L644" s="9">
        <f t="shared" si="10"/>
        <v>1</v>
      </c>
    </row>
    <row r="645" spans="1:12" ht="15" thickBot="1">
      <c r="A645" s="31">
        <v>6422227</v>
      </c>
      <c r="B645" s="35">
        <v>3048</v>
      </c>
      <c r="C645" s="35" t="s">
        <v>153</v>
      </c>
      <c r="D645" s="35">
        <v>5</v>
      </c>
      <c r="E645" s="35">
        <v>4</v>
      </c>
      <c r="F645" s="36">
        <v>43643</v>
      </c>
      <c r="G645" s="9">
        <f>VLOOKUP(A645,Sheet9!$A:$F,2,FALSE)</f>
        <v>22000000</v>
      </c>
      <c r="H645" s="9" t="str">
        <f>VLOOKUP(A645,Sheet9!$A:$F,3,FALSE )</f>
        <v>Bahria Town Rawalpindi</v>
      </c>
      <c r="I645" s="9" t="str">
        <f>VLOOKUP(A645,Sheet9!$A:$F,4,FALSE)</f>
        <v>Rawalpindi</v>
      </c>
      <c r="J645" s="9" t="str">
        <f>VLOOKUP(A645,Sheet9!$A:$F,5,FALSE)</f>
        <v>Punjab</v>
      </c>
      <c r="K645" s="9" t="str">
        <f>VLOOKUP(A645,Sheet9!$A:$F,6,FALSE)</f>
        <v>For Sale</v>
      </c>
      <c r="L645" s="9">
        <f t="shared" si="10"/>
        <v>2</v>
      </c>
    </row>
    <row r="646" spans="1:12" ht="15" thickBot="1">
      <c r="A646" s="31">
        <v>6427057</v>
      </c>
      <c r="B646" s="35">
        <v>198</v>
      </c>
      <c r="C646" s="35" t="s">
        <v>154</v>
      </c>
      <c r="D646" s="35">
        <v>5</v>
      </c>
      <c r="E646" s="35">
        <v>3</v>
      </c>
      <c r="F646" s="36">
        <v>43649</v>
      </c>
      <c r="G646" s="9">
        <f>VLOOKUP(A646,Sheet9!$A:$F,2,FALSE)</f>
        <v>50000000</v>
      </c>
      <c r="H646" s="9" t="str">
        <f>VLOOKUP(A646,Sheet9!$A:$F,3,FALSE )</f>
        <v>Bath Island</v>
      </c>
      <c r="I646" s="9" t="str">
        <f>VLOOKUP(A646,Sheet9!$A:$F,4,FALSE)</f>
        <v>Karachi</v>
      </c>
      <c r="J646" s="9" t="str">
        <f>VLOOKUP(A646,Sheet9!$A:$F,5,FALSE)</f>
        <v>Sindh</v>
      </c>
      <c r="K646" s="9" t="str">
        <f>VLOOKUP(A646,Sheet9!$A:$F,6,FALSE)</f>
        <v>For Sale</v>
      </c>
      <c r="L646" s="9">
        <f t="shared" si="10"/>
        <v>1</v>
      </c>
    </row>
    <row r="647" spans="1:12" ht="15" thickBot="1">
      <c r="A647" s="31">
        <v>6429106</v>
      </c>
      <c r="B647" s="35">
        <v>3102</v>
      </c>
      <c r="C647" s="35" t="s">
        <v>153</v>
      </c>
      <c r="D647" s="35">
        <v>4</v>
      </c>
      <c r="E647" s="35">
        <v>4</v>
      </c>
      <c r="F647" s="36">
        <v>43620</v>
      </c>
      <c r="G647" s="9">
        <f>VLOOKUP(A647,Sheet9!$A:$F,2,FALSE)</f>
        <v>40000000</v>
      </c>
      <c r="H647" s="9" t="str">
        <f>VLOOKUP(A647,Sheet9!$A:$F,3,FALSE )</f>
        <v>Gulberg</v>
      </c>
      <c r="I647" s="9" t="str">
        <f>VLOOKUP(A647,Sheet9!$A:$F,4,FALSE)</f>
        <v>Lahore</v>
      </c>
      <c r="J647" s="9" t="str">
        <f>VLOOKUP(A647,Sheet9!$A:$F,5,FALSE)</f>
        <v>Punjab</v>
      </c>
      <c r="K647" s="9" t="str">
        <f>VLOOKUP(A647,Sheet9!$A:$F,6,FALSE)</f>
        <v>For Sale</v>
      </c>
      <c r="L647" s="9">
        <f t="shared" si="10"/>
        <v>2</v>
      </c>
    </row>
    <row r="648" spans="1:12" ht="15" thickBot="1">
      <c r="A648" s="31">
        <v>6429177</v>
      </c>
      <c r="B648" s="35">
        <v>3102</v>
      </c>
      <c r="C648" s="35" t="s">
        <v>153</v>
      </c>
      <c r="D648" s="35">
        <v>0</v>
      </c>
      <c r="E648" s="35">
        <v>0</v>
      </c>
      <c r="F648" s="36">
        <v>43620</v>
      </c>
      <c r="G648" s="9">
        <f>VLOOKUP(A648,Sheet9!$A:$F,2,FALSE)</f>
        <v>54500000</v>
      </c>
      <c r="H648" s="9" t="str">
        <f>VLOOKUP(A648,Sheet9!$A:$F,3,FALSE )</f>
        <v>Gulberg</v>
      </c>
      <c r="I648" s="9" t="str">
        <f>VLOOKUP(A648,Sheet9!$A:$F,4,FALSE)</f>
        <v>Lahore</v>
      </c>
      <c r="J648" s="9" t="str">
        <f>VLOOKUP(A648,Sheet9!$A:$F,5,FALSE)</f>
        <v>Punjab</v>
      </c>
      <c r="K648" s="9" t="str">
        <f>VLOOKUP(A648,Sheet9!$A:$F,6,FALSE)</f>
        <v>For Sale</v>
      </c>
      <c r="L648" s="9">
        <f t="shared" si="10"/>
        <v>2</v>
      </c>
    </row>
    <row r="649" spans="1:12" ht="29.5" thickBot="1">
      <c r="A649" s="31">
        <v>6429771</v>
      </c>
      <c r="B649" s="35">
        <v>3283</v>
      </c>
      <c r="C649" s="35" t="s">
        <v>156</v>
      </c>
      <c r="D649" s="35">
        <v>3</v>
      </c>
      <c r="E649" s="35">
        <v>3</v>
      </c>
      <c r="F649" s="36">
        <v>43646</v>
      </c>
      <c r="G649" s="9">
        <f>VLOOKUP(A649,Sheet9!$A:$F,2,FALSE)</f>
        <v>110000</v>
      </c>
      <c r="H649" s="9" t="str">
        <f>VLOOKUP(A649,Sheet9!$A:$F,3,FALSE )</f>
        <v>F-11</v>
      </c>
      <c r="I649" s="9" t="str">
        <f>VLOOKUP(A649,Sheet9!$A:$F,4,FALSE)</f>
        <v>Islamabad</v>
      </c>
      <c r="J649" s="9" t="str">
        <f>VLOOKUP(A649,Sheet9!$A:$F,5,FALSE)</f>
        <v>Islamabad Capital</v>
      </c>
      <c r="K649" s="9" t="str">
        <f>VLOOKUP(A649,Sheet9!$A:$F,6,FALSE)</f>
        <v>For Rent</v>
      </c>
      <c r="L649" s="9">
        <f t="shared" si="10"/>
        <v>3</v>
      </c>
    </row>
    <row r="650" spans="1:12" ht="15" thickBot="1">
      <c r="A650" s="31">
        <v>6432127</v>
      </c>
      <c r="B650" s="35">
        <v>3102</v>
      </c>
      <c r="C650" s="35" t="s">
        <v>153</v>
      </c>
      <c r="D650" s="35">
        <v>6</v>
      </c>
      <c r="E650" s="35">
        <v>5</v>
      </c>
      <c r="F650" s="36">
        <v>43620</v>
      </c>
      <c r="G650" s="9">
        <f>VLOOKUP(A650,Sheet9!$A:$F,2,FALSE)</f>
        <v>52500000</v>
      </c>
      <c r="H650" s="9" t="str">
        <f>VLOOKUP(A650,Sheet9!$A:$F,3,FALSE )</f>
        <v>Gulberg</v>
      </c>
      <c r="I650" s="9" t="str">
        <f>VLOOKUP(A650,Sheet9!$A:$F,4,FALSE)</f>
        <v>Lahore</v>
      </c>
      <c r="J650" s="9" t="str">
        <f>VLOOKUP(A650,Sheet9!$A:$F,5,FALSE)</f>
        <v>Punjab</v>
      </c>
      <c r="K650" s="9" t="str">
        <f>VLOOKUP(A650,Sheet9!$A:$F,6,FALSE)</f>
        <v>For Sale</v>
      </c>
      <c r="L650" s="9">
        <f t="shared" si="10"/>
        <v>2</v>
      </c>
    </row>
    <row r="651" spans="1:12" ht="15" thickBot="1">
      <c r="A651" s="31">
        <v>6433945</v>
      </c>
      <c r="B651" s="35">
        <v>7</v>
      </c>
      <c r="C651" s="35" t="s">
        <v>153</v>
      </c>
      <c r="D651" s="35">
        <v>0</v>
      </c>
      <c r="E651" s="35">
        <v>0</v>
      </c>
      <c r="F651" s="36">
        <v>43620</v>
      </c>
      <c r="G651" s="9">
        <f>VLOOKUP(A651,Sheet9!$A:$F,2,FALSE)</f>
        <v>140000000</v>
      </c>
      <c r="H651" s="9" t="str">
        <f>VLOOKUP(A651,Sheet9!$A:$F,3,FALSE )</f>
        <v>Gulberg</v>
      </c>
      <c r="I651" s="9" t="str">
        <f>VLOOKUP(A651,Sheet9!$A:$F,4,FALSE)</f>
        <v>Lahore</v>
      </c>
      <c r="J651" s="9" t="str">
        <f>VLOOKUP(A651,Sheet9!$A:$F,5,FALSE)</f>
        <v>Punjab</v>
      </c>
      <c r="K651" s="9" t="str">
        <f>VLOOKUP(A651,Sheet9!$A:$F,6,FALSE)</f>
        <v>For Sale</v>
      </c>
      <c r="L651" s="9">
        <f t="shared" si="10"/>
        <v>2</v>
      </c>
    </row>
    <row r="652" spans="1:12" ht="15" thickBot="1">
      <c r="A652" s="31">
        <v>6440470</v>
      </c>
      <c r="B652" s="35">
        <v>3559</v>
      </c>
      <c r="C652" s="35" t="s">
        <v>154</v>
      </c>
      <c r="D652" s="35">
        <v>4</v>
      </c>
      <c r="E652" s="35">
        <v>3</v>
      </c>
      <c r="F652" s="36">
        <v>43656</v>
      </c>
      <c r="G652" s="9">
        <f>VLOOKUP(A652,Sheet9!$A:$F,2,FALSE)</f>
        <v>19000000</v>
      </c>
      <c r="H652" s="9" t="str">
        <f>VLOOKUP(A652,Sheet9!$A:$F,3,FALSE )</f>
        <v>Askari</v>
      </c>
      <c r="I652" s="9" t="str">
        <f>VLOOKUP(A652,Sheet9!$A:$F,4,FALSE)</f>
        <v>Lahore</v>
      </c>
      <c r="J652" s="9" t="str">
        <f>VLOOKUP(A652,Sheet9!$A:$F,5,FALSE)</f>
        <v>Punjab</v>
      </c>
      <c r="K652" s="9" t="str">
        <f>VLOOKUP(A652,Sheet9!$A:$F,6,FALSE)</f>
        <v>For Sale</v>
      </c>
      <c r="L652" s="9">
        <f t="shared" si="10"/>
        <v>2</v>
      </c>
    </row>
    <row r="653" spans="1:12" ht="15" thickBot="1">
      <c r="A653" s="31">
        <v>6440505</v>
      </c>
      <c r="B653" s="35">
        <v>3102</v>
      </c>
      <c r="C653" s="35" t="s">
        <v>153</v>
      </c>
      <c r="D653" s="35">
        <v>5</v>
      </c>
      <c r="E653" s="35">
        <v>5</v>
      </c>
      <c r="F653" s="36">
        <v>43620</v>
      </c>
      <c r="G653" s="9">
        <f>VLOOKUP(A653,Sheet9!$A:$F,2,FALSE)</f>
        <v>55000000</v>
      </c>
      <c r="H653" s="9" t="str">
        <f>VLOOKUP(A653,Sheet9!$A:$F,3,FALSE )</f>
        <v>Gulberg</v>
      </c>
      <c r="I653" s="9" t="str">
        <f>VLOOKUP(A653,Sheet9!$A:$F,4,FALSE)</f>
        <v>Lahore</v>
      </c>
      <c r="J653" s="9" t="str">
        <f>VLOOKUP(A653,Sheet9!$A:$F,5,FALSE)</f>
        <v>Punjab</v>
      </c>
      <c r="K653" s="9" t="str">
        <f>VLOOKUP(A653,Sheet9!$A:$F,6,FALSE)</f>
        <v>For Sale</v>
      </c>
      <c r="L653" s="9">
        <f t="shared" si="10"/>
        <v>2</v>
      </c>
    </row>
    <row r="654" spans="1:12" ht="15" thickBot="1">
      <c r="A654" s="31">
        <v>6440506</v>
      </c>
      <c r="B654" s="35">
        <v>3102</v>
      </c>
      <c r="C654" s="35" t="s">
        <v>153</v>
      </c>
      <c r="D654" s="35">
        <v>4</v>
      </c>
      <c r="E654" s="35">
        <v>4</v>
      </c>
      <c r="F654" s="36">
        <v>43620</v>
      </c>
      <c r="G654" s="9">
        <f>VLOOKUP(A654,Sheet9!$A:$F,2,FALSE)</f>
        <v>37500000</v>
      </c>
      <c r="H654" s="9" t="str">
        <f>VLOOKUP(A654,Sheet9!$A:$F,3,FALSE )</f>
        <v>Gulberg</v>
      </c>
      <c r="I654" s="9" t="str">
        <f>VLOOKUP(A654,Sheet9!$A:$F,4,FALSE)</f>
        <v>Lahore</v>
      </c>
      <c r="J654" s="9" t="str">
        <f>VLOOKUP(A654,Sheet9!$A:$F,5,FALSE)</f>
        <v>Punjab</v>
      </c>
      <c r="K654" s="9" t="str">
        <f>VLOOKUP(A654,Sheet9!$A:$F,6,FALSE)</f>
        <v>For Sale</v>
      </c>
      <c r="L654" s="9">
        <f t="shared" si="10"/>
        <v>2</v>
      </c>
    </row>
    <row r="655" spans="1:12" ht="15" thickBot="1">
      <c r="A655" s="31">
        <v>6440673</v>
      </c>
      <c r="B655" s="35">
        <v>6875</v>
      </c>
      <c r="C655" s="35" t="s">
        <v>153</v>
      </c>
      <c r="D655" s="35">
        <v>8</v>
      </c>
      <c r="E655" s="35">
        <v>6</v>
      </c>
      <c r="F655" s="36">
        <v>43380</v>
      </c>
      <c r="G655" s="9">
        <f>VLOOKUP(A655,Sheet9!$A:$F,2,FALSE)</f>
        <v>90000000</v>
      </c>
      <c r="H655" s="9" t="str">
        <f>VLOOKUP(A655,Sheet9!$A:$F,3,FALSE )</f>
        <v>Gulshan-e-Iqbal Town</v>
      </c>
      <c r="I655" s="9" t="str">
        <f>VLOOKUP(A655,Sheet9!$A:$F,4,FALSE)</f>
        <v>Karachi</v>
      </c>
      <c r="J655" s="9" t="str">
        <f>VLOOKUP(A655,Sheet9!$A:$F,5,FALSE)</f>
        <v>Sindh</v>
      </c>
      <c r="K655" s="9" t="str">
        <f>VLOOKUP(A655,Sheet9!$A:$F,6,FALSE)</f>
        <v>For Sale</v>
      </c>
      <c r="L655" s="9">
        <f t="shared" si="10"/>
        <v>1</v>
      </c>
    </row>
    <row r="656" spans="1:12" ht="15" thickBot="1">
      <c r="A656" s="31">
        <v>6458933</v>
      </c>
      <c r="B656" s="35">
        <v>3041</v>
      </c>
      <c r="C656" s="35" t="s">
        <v>153</v>
      </c>
      <c r="D656" s="35">
        <v>5</v>
      </c>
      <c r="E656" s="35">
        <v>5</v>
      </c>
      <c r="F656" s="36">
        <v>43590</v>
      </c>
      <c r="G656" s="9">
        <f>VLOOKUP(A656,Sheet9!$A:$F,2,FALSE)</f>
        <v>23000000</v>
      </c>
      <c r="H656" s="9" t="str">
        <f>VLOOKUP(A656,Sheet9!$A:$F,3,FALSE )</f>
        <v>Bahria Town Rawalpindi</v>
      </c>
      <c r="I656" s="9" t="str">
        <f>VLOOKUP(A656,Sheet9!$A:$F,4,FALSE)</f>
        <v>Rawalpindi</v>
      </c>
      <c r="J656" s="9" t="str">
        <f>VLOOKUP(A656,Sheet9!$A:$F,5,FALSE)</f>
        <v>Punjab</v>
      </c>
      <c r="K656" s="9" t="str">
        <f>VLOOKUP(A656,Sheet9!$A:$F,6,FALSE)</f>
        <v>For Sale</v>
      </c>
      <c r="L656" s="9">
        <f t="shared" si="10"/>
        <v>2</v>
      </c>
    </row>
    <row r="657" spans="1:12" ht="15" thickBot="1">
      <c r="A657" s="31">
        <v>6459143</v>
      </c>
      <c r="B657" s="35">
        <v>1504</v>
      </c>
      <c r="C657" s="35" t="s">
        <v>153</v>
      </c>
      <c r="D657" s="35">
        <v>3</v>
      </c>
      <c r="E657" s="35">
        <v>4</v>
      </c>
      <c r="F657" s="36">
        <v>43644</v>
      </c>
      <c r="G657" s="9">
        <f>VLOOKUP(A657,Sheet9!$A:$F,2,FALSE)</f>
        <v>48000</v>
      </c>
      <c r="H657" s="9" t="str">
        <f>VLOOKUP(A657,Sheet9!$A:$F,3,FALSE )</f>
        <v>Askari 14</v>
      </c>
      <c r="I657" s="9" t="str">
        <f>VLOOKUP(A657,Sheet9!$A:$F,4,FALSE)</f>
        <v>Rawalpindi</v>
      </c>
      <c r="J657" s="9" t="str">
        <f>VLOOKUP(A657,Sheet9!$A:$F,5,FALSE)</f>
        <v>Punjab</v>
      </c>
      <c r="K657" s="9" t="str">
        <f>VLOOKUP(A657,Sheet9!$A:$F,6,FALSE)</f>
        <v>For Rent</v>
      </c>
      <c r="L657" s="9">
        <f t="shared" si="10"/>
        <v>2</v>
      </c>
    </row>
    <row r="658" spans="1:12" ht="15" thickBot="1">
      <c r="A658" s="31">
        <v>6468068</v>
      </c>
      <c r="B658" s="35">
        <v>429</v>
      </c>
      <c r="C658" s="35" t="s">
        <v>154</v>
      </c>
      <c r="D658" s="35">
        <v>3</v>
      </c>
      <c r="E658" s="35">
        <v>2</v>
      </c>
      <c r="F658" s="36">
        <v>43530</v>
      </c>
      <c r="G658" s="9">
        <f>VLOOKUP(A658,Sheet9!$A:$F,2,FALSE)</f>
        <v>33000000</v>
      </c>
      <c r="H658" s="9" t="str">
        <f>VLOOKUP(A658,Sheet9!$A:$F,3,FALSE )</f>
        <v>Diplomatic Enclave</v>
      </c>
      <c r="I658" s="9" t="str">
        <f>VLOOKUP(A658,Sheet9!$A:$F,4,FALSE)</f>
        <v>Islamabad</v>
      </c>
      <c r="J658" s="9" t="str">
        <f>VLOOKUP(A658,Sheet9!$A:$F,5,FALSE)</f>
        <v>Islamabad Capital</v>
      </c>
      <c r="K658" s="9" t="str">
        <f>VLOOKUP(A658,Sheet9!$A:$F,6,FALSE)</f>
        <v>For Sale</v>
      </c>
      <c r="L658" s="9">
        <f t="shared" si="10"/>
        <v>3</v>
      </c>
    </row>
    <row r="659" spans="1:12" ht="15" thickBot="1">
      <c r="A659" s="31">
        <v>6468994</v>
      </c>
      <c r="B659" s="35">
        <v>8484</v>
      </c>
      <c r="C659" s="35" t="s">
        <v>154</v>
      </c>
      <c r="D659" s="35">
        <v>4</v>
      </c>
      <c r="E659" s="35">
        <v>3</v>
      </c>
      <c r="F659" s="36">
        <v>43647</v>
      </c>
      <c r="G659" s="9">
        <f>VLOOKUP(A659,Sheet9!$A:$F,2,FALSE)</f>
        <v>22500000</v>
      </c>
      <c r="H659" s="9" t="str">
        <f>VLOOKUP(A659,Sheet9!$A:$F,3,FALSE )</f>
        <v>DHA Defence</v>
      </c>
      <c r="I659" s="9" t="str">
        <f>VLOOKUP(A659,Sheet9!$A:$F,4,FALSE)</f>
        <v>Karachi</v>
      </c>
      <c r="J659" s="9" t="str">
        <f>VLOOKUP(A659,Sheet9!$A:$F,5,FALSE)</f>
        <v>Sindh</v>
      </c>
      <c r="K659" s="9" t="str">
        <f>VLOOKUP(A659,Sheet9!$A:$F,6,FALSE)</f>
        <v>For Sale</v>
      </c>
      <c r="L659" s="9">
        <f t="shared" si="10"/>
        <v>1</v>
      </c>
    </row>
    <row r="660" spans="1:12" ht="15" thickBot="1">
      <c r="A660" s="31">
        <v>6469635</v>
      </c>
      <c r="B660" s="35">
        <v>9064</v>
      </c>
      <c r="C660" s="35" t="s">
        <v>153</v>
      </c>
      <c r="D660" s="35">
        <v>7</v>
      </c>
      <c r="E660" s="35">
        <v>5</v>
      </c>
      <c r="F660" s="36">
        <v>43588</v>
      </c>
      <c r="G660" s="9">
        <f>VLOOKUP(A660,Sheet9!$A:$F,2,FALSE)</f>
        <v>32000000</v>
      </c>
      <c r="H660" s="9" t="str">
        <f>VLOOKUP(A660,Sheet9!$A:$F,3,FALSE )</f>
        <v>Cricketer Villas</v>
      </c>
      <c r="I660" s="9" t="str">
        <f>VLOOKUP(A660,Sheet9!$A:$F,4,FALSE)</f>
        <v>Lahore</v>
      </c>
      <c r="J660" s="9" t="str">
        <f>VLOOKUP(A660,Sheet9!$A:$F,5,FALSE)</f>
        <v>Punjab</v>
      </c>
      <c r="K660" s="9" t="str">
        <f>VLOOKUP(A660,Sheet9!$A:$F,6,FALSE)</f>
        <v>For Sale</v>
      </c>
      <c r="L660" s="9">
        <f t="shared" si="10"/>
        <v>2</v>
      </c>
    </row>
    <row r="661" spans="1:12" ht="15" thickBot="1">
      <c r="A661" s="31">
        <v>6470440</v>
      </c>
      <c r="B661" s="35">
        <v>8506</v>
      </c>
      <c r="C661" s="35" t="s">
        <v>154</v>
      </c>
      <c r="D661" s="35">
        <v>2</v>
      </c>
      <c r="E661" s="35">
        <v>2</v>
      </c>
      <c r="F661" s="36">
        <v>43630</v>
      </c>
      <c r="G661" s="9">
        <f>VLOOKUP(A661,Sheet9!$A:$F,2,FALSE)</f>
        <v>65000</v>
      </c>
      <c r="H661" s="9" t="str">
        <f>VLOOKUP(A661,Sheet9!$A:$F,3,FALSE )</f>
        <v>Bahria Town Rawalpindi</v>
      </c>
      <c r="I661" s="9" t="str">
        <f>VLOOKUP(A661,Sheet9!$A:$F,4,FALSE)</f>
        <v>Rawalpindi</v>
      </c>
      <c r="J661" s="9" t="str">
        <f>VLOOKUP(A661,Sheet9!$A:$F,5,FALSE)</f>
        <v>Punjab</v>
      </c>
      <c r="K661" s="9" t="str">
        <f>VLOOKUP(A661,Sheet9!$A:$F,6,FALSE)</f>
        <v>For Rent</v>
      </c>
      <c r="L661" s="9">
        <f t="shared" si="10"/>
        <v>2</v>
      </c>
    </row>
    <row r="662" spans="1:12" ht="15" thickBot="1">
      <c r="A662" s="31">
        <v>6472261</v>
      </c>
      <c r="B662" s="35">
        <v>717</v>
      </c>
      <c r="C662" s="35" t="s">
        <v>153</v>
      </c>
      <c r="D662" s="35">
        <v>4</v>
      </c>
      <c r="E662" s="35">
        <v>4</v>
      </c>
      <c r="F662" s="36">
        <v>43651</v>
      </c>
      <c r="G662" s="9">
        <f>VLOOKUP(A662,Sheet9!$A:$F,2,FALSE)</f>
        <v>65000</v>
      </c>
      <c r="H662" s="9" t="str">
        <f>VLOOKUP(A662,Sheet9!$A:$F,3,FALSE )</f>
        <v>Saddar</v>
      </c>
      <c r="I662" s="9" t="str">
        <f>VLOOKUP(A662,Sheet9!$A:$F,4,FALSE)</f>
        <v>Rawalpindi</v>
      </c>
      <c r="J662" s="9" t="str">
        <f>VLOOKUP(A662,Sheet9!$A:$F,5,FALSE)</f>
        <v>Punjab</v>
      </c>
      <c r="K662" s="9" t="str">
        <f>VLOOKUP(A662,Sheet9!$A:$F,6,FALSE)</f>
        <v>For Rent</v>
      </c>
      <c r="L662" s="9">
        <f t="shared" si="10"/>
        <v>2</v>
      </c>
    </row>
    <row r="663" spans="1:12" ht="15" thickBot="1">
      <c r="A663" s="31">
        <v>6472343</v>
      </c>
      <c r="B663" s="35">
        <v>1483</v>
      </c>
      <c r="C663" s="35" t="s">
        <v>153</v>
      </c>
      <c r="D663" s="35">
        <v>4</v>
      </c>
      <c r="E663" s="35">
        <v>4</v>
      </c>
      <c r="F663" s="36">
        <v>43660</v>
      </c>
      <c r="G663" s="9">
        <f>VLOOKUP(A663,Sheet9!$A:$F,2,FALSE)</f>
        <v>300000</v>
      </c>
      <c r="H663" s="9" t="str">
        <f>VLOOKUP(A663,Sheet9!$A:$F,3,FALSE )</f>
        <v>DHA Defence</v>
      </c>
      <c r="I663" s="9" t="str">
        <f>VLOOKUP(A663,Sheet9!$A:$F,4,FALSE)</f>
        <v>Karachi</v>
      </c>
      <c r="J663" s="9" t="str">
        <f>VLOOKUP(A663,Sheet9!$A:$F,5,FALSE)</f>
        <v>Sindh</v>
      </c>
      <c r="K663" s="9" t="str">
        <f>VLOOKUP(A663,Sheet9!$A:$F,6,FALSE)</f>
        <v>For Rent</v>
      </c>
      <c r="L663" s="9">
        <f t="shared" si="10"/>
        <v>1</v>
      </c>
    </row>
    <row r="664" spans="1:12" ht="15" thickBot="1">
      <c r="A664" s="31">
        <v>6472689</v>
      </c>
      <c r="B664" s="35">
        <v>10663</v>
      </c>
      <c r="C664" s="35" t="s">
        <v>154</v>
      </c>
      <c r="D664" s="35">
        <v>8</v>
      </c>
      <c r="E664" s="35">
        <v>4</v>
      </c>
      <c r="F664" s="36">
        <v>43629</v>
      </c>
      <c r="G664" s="9">
        <f>VLOOKUP(A664,Sheet9!$A:$F,2,FALSE)</f>
        <v>15000000</v>
      </c>
      <c r="H664" s="9" t="str">
        <f>VLOOKUP(A664,Sheet9!$A:$F,3,FALSE )</f>
        <v>DHA Defence</v>
      </c>
      <c r="I664" s="9" t="str">
        <f>VLOOKUP(A664,Sheet9!$A:$F,4,FALSE)</f>
        <v>Islamabad</v>
      </c>
      <c r="J664" s="9" t="str">
        <f>VLOOKUP(A664,Sheet9!$A:$F,5,FALSE)</f>
        <v>Islamabad Capital</v>
      </c>
      <c r="K664" s="9" t="str">
        <f>VLOOKUP(A664,Sheet9!$A:$F,6,FALSE)</f>
        <v>For Sale</v>
      </c>
      <c r="L664" s="9">
        <f t="shared" si="10"/>
        <v>3</v>
      </c>
    </row>
    <row r="665" spans="1:12" ht="15" thickBot="1">
      <c r="A665" s="31">
        <v>6472791</v>
      </c>
      <c r="B665" s="35">
        <v>11905</v>
      </c>
      <c r="C665" s="35" t="s">
        <v>154</v>
      </c>
      <c r="D665" s="35">
        <v>4</v>
      </c>
      <c r="E665" s="35">
        <v>3</v>
      </c>
      <c r="F665" s="36">
        <v>43603</v>
      </c>
      <c r="G665" s="9">
        <f>VLOOKUP(A665,Sheet9!$A:$F,2,FALSE)</f>
        <v>40000</v>
      </c>
      <c r="H665" s="9" t="str">
        <f>VLOOKUP(A665,Sheet9!$A:$F,3,FALSE )</f>
        <v>DHA Defence</v>
      </c>
      <c r="I665" s="9" t="str">
        <f>VLOOKUP(A665,Sheet9!$A:$F,4,FALSE)</f>
        <v>Islamabad</v>
      </c>
      <c r="J665" s="9" t="str">
        <f>VLOOKUP(A665,Sheet9!$A:$F,5,FALSE)</f>
        <v>Islamabad Capital</v>
      </c>
      <c r="K665" s="9" t="str">
        <f>VLOOKUP(A665,Sheet9!$A:$F,6,FALSE)</f>
        <v>For Rent</v>
      </c>
      <c r="L665" s="9">
        <f t="shared" si="10"/>
        <v>3</v>
      </c>
    </row>
    <row r="666" spans="1:12" ht="15" thickBot="1">
      <c r="A666" s="31">
        <v>6473030</v>
      </c>
      <c r="B666" s="35">
        <v>9214</v>
      </c>
      <c r="C666" s="35" t="s">
        <v>154</v>
      </c>
      <c r="D666" s="35">
        <v>4</v>
      </c>
      <c r="E666" s="35">
        <v>3</v>
      </c>
      <c r="F666" s="36">
        <v>43633</v>
      </c>
      <c r="G666" s="9">
        <f>VLOOKUP(A666,Sheet9!$A:$F,2,FALSE)</f>
        <v>45000</v>
      </c>
      <c r="H666" s="9" t="str">
        <f>VLOOKUP(A666,Sheet9!$A:$F,3,FALSE )</f>
        <v>Askari 4</v>
      </c>
      <c r="I666" s="9" t="str">
        <f>VLOOKUP(A666,Sheet9!$A:$F,4,FALSE)</f>
        <v>Rawalpindi</v>
      </c>
      <c r="J666" s="9" t="str">
        <f>VLOOKUP(A666,Sheet9!$A:$F,5,FALSE)</f>
        <v>Punjab</v>
      </c>
      <c r="K666" s="9" t="str">
        <f>VLOOKUP(A666,Sheet9!$A:$F,6,FALSE)</f>
        <v>For Rent</v>
      </c>
      <c r="L666" s="9">
        <f t="shared" si="10"/>
        <v>2</v>
      </c>
    </row>
    <row r="667" spans="1:12" ht="15" thickBot="1">
      <c r="A667" s="31">
        <v>6475811</v>
      </c>
      <c r="B667" s="35">
        <v>4375</v>
      </c>
      <c r="C667" s="35" t="s">
        <v>153</v>
      </c>
      <c r="D667" s="35">
        <v>3</v>
      </c>
      <c r="E667" s="35">
        <v>3</v>
      </c>
      <c r="F667" s="36">
        <v>43588</v>
      </c>
      <c r="G667" s="9">
        <f>VLOOKUP(A667,Sheet9!$A:$F,2,FALSE)</f>
        <v>10000000</v>
      </c>
      <c r="H667" s="9" t="str">
        <f>VLOOKUP(A667,Sheet9!$A:$F,3,FALSE )</f>
        <v>Rehman Villas</v>
      </c>
      <c r="I667" s="9" t="str">
        <f>VLOOKUP(A667,Sheet9!$A:$F,4,FALSE)</f>
        <v>Lahore</v>
      </c>
      <c r="J667" s="9" t="str">
        <f>VLOOKUP(A667,Sheet9!$A:$F,5,FALSE)</f>
        <v>Punjab</v>
      </c>
      <c r="K667" s="9" t="str">
        <f>VLOOKUP(A667,Sheet9!$A:$F,6,FALSE)</f>
        <v>For Sale</v>
      </c>
      <c r="L667" s="9">
        <f t="shared" si="10"/>
        <v>2</v>
      </c>
    </row>
    <row r="668" spans="1:12" ht="15" thickBot="1">
      <c r="A668" s="31">
        <v>6484598</v>
      </c>
      <c r="B668" s="35">
        <v>6881</v>
      </c>
      <c r="C668" s="35" t="s">
        <v>154</v>
      </c>
      <c r="D668" s="35">
        <v>4</v>
      </c>
      <c r="E668" s="35">
        <v>3</v>
      </c>
      <c r="F668" s="36">
        <v>43648</v>
      </c>
      <c r="G668" s="9">
        <f>VLOOKUP(A668,Sheet9!$A:$F,2,FALSE)</f>
        <v>13000000</v>
      </c>
      <c r="H668" s="9" t="str">
        <f>VLOOKUP(A668,Sheet9!$A:$F,3,FALSE )</f>
        <v>Gulshan-e-Iqbal Town</v>
      </c>
      <c r="I668" s="9" t="str">
        <f>VLOOKUP(A668,Sheet9!$A:$F,4,FALSE)</f>
        <v>Karachi</v>
      </c>
      <c r="J668" s="9" t="str">
        <f>VLOOKUP(A668,Sheet9!$A:$F,5,FALSE)</f>
        <v>Sindh</v>
      </c>
      <c r="K668" s="9" t="str">
        <f>VLOOKUP(A668,Sheet9!$A:$F,6,FALSE)</f>
        <v>For Sale</v>
      </c>
      <c r="L668" s="9">
        <f t="shared" si="10"/>
        <v>1</v>
      </c>
    </row>
    <row r="669" spans="1:12" ht="15" thickBot="1">
      <c r="A669" s="31">
        <v>6494408</v>
      </c>
      <c r="B669" s="35">
        <v>6834</v>
      </c>
      <c r="C669" s="35" t="s">
        <v>154</v>
      </c>
      <c r="D669" s="35">
        <v>3</v>
      </c>
      <c r="E669" s="35">
        <v>3</v>
      </c>
      <c r="F669" s="36">
        <v>43632</v>
      </c>
      <c r="G669" s="9">
        <f>VLOOKUP(A669,Sheet9!$A:$F,2,FALSE)</f>
        <v>11500000</v>
      </c>
      <c r="H669" s="9" t="str">
        <f>VLOOKUP(A669,Sheet9!$A:$F,3,FALSE )</f>
        <v>Gulistan-e-Jauhar</v>
      </c>
      <c r="I669" s="9" t="str">
        <f>VLOOKUP(A669,Sheet9!$A:$F,4,FALSE)</f>
        <v>Karachi</v>
      </c>
      <c r="J669" s="9" t="str">
        <f>VLOOKUP(A669,Sheet9!$A:$F,5,FALSE)</f>
        <v>Sindh</v>
      </c>
      <c r="K669" s="9" t="str">
        <f>VLOOKUP(A669,Sheet9!$A:$F,6,FALSE)</f>
        <v>For Sale</v>
      </c>
      <c r="L669" s="9">
        <f t="shared" si="10"/>
        <v>1</v>
      </c>
    </row>
    <row r="670" spans="1:12" ht="15" thickBot="1">
      <c r="A670" s="31">
        <v>6498209</v>
      </c>
      <c r="B670" s="35">
        <v>1447</v>
      </c>
      <c r="C670" s="35" t="s">
        <v>153</v>
      </c>
      <c r="D670" s="35">
        <v>6</v>
      </c>
      <c r="E670" s="35">
        <v>5</v>
      </c>
      <c r="F670" s="36">
        <v>43642</v>
      </c>
      <c r="G670" s="9">
        <f>VLOOKUP(A670,Sheet9!$A:$F,2,FALSE)</f>
        <v>44500000</v>
      </c>
      <c r="H670" s="9" t="str">
        <f>VLOOKUP(A670,Sheet9!$A:$F,3,FALSE )</f>
        <v>DHA Defence</v>
      </c>
      <c r="I670" s="9" t="str">
        <f>VLOOKUP(A670,Sheet9!$A:$F,4,FALSE)</f>
        <v>Lahore</v>
      </c>
      <c r="J670" s="9" t="str">
        <f>VLOOKUP(A670,Sheet9!$A:$F,5,FALSE)</f>
        <v>Punjab</v>
      </c>
      <c r="K670" s="9" t="str">
        <f>VLOOKUP(A670,Sheet9!$A:$F,6,FALSE)</f>
        <v>For Sale</v>
      </c>
      <c r="L670" s="9">
        <f t="shared" si="10"/>
        <v>2</v>
      </c>
    </row>
    <row r="671" spans="1:12" ht="15" thickBot="1">
      <c r="A671" s="31">
        <v>6499112</v>
      </c>
      <c r="B671" s="35">
        <v>8363</v>
      </c>
      <c r="C671" s="35" t="s">
        <v>154</v>
      </c>
      <c r="D671" s="35">
        <v>2</v>
      </c>
      <c r="E671" s="35">
        <v>2</v>
      </c>
      <c r="F671" s="36">
        <v>43637</v>
      </c>
      <c r="G671" s="9">
        <f>VLOOKUP(A671,Sheet9!$A:$F,2,FALSE)</f>
        <v>4790000</v>
      </c>
      <c r="H671" s="9" t="str">
        <f>VLOOKUP(A671,Sheet9!$A:$F,3,FALSE )</f>
        <v>Bahria Town Karachi</v>
      </c>
      <c r="I671" s="9" t="str">
        <f>VLOOKUP(A671,Sheet9!$A:$F,4,FALSE)</f>
        <v>Karachi</v>
      </c>
      <c r="J671" s="9" t="str">
        <f>VLOOKUP(A671,Sheet9!$A:$F,5,FALSE)</f>
        <v>Sindh</v>
      </c>
      <c r="K671" s="9" t="str">
        <f>VLOOKUP(A671,Sheet9!$A:$F,6,FALSE)</f>
        <v>For Sale</v>
      </c>
      <c r="L671" s="9">
        <f t="shared" si="10"/>
        <v>1</v>
      </c>
    </row>
    <row r="672" spans="1:12" ht="15" thickBot="1">
      <c r="A672" s="31">
        <v>6499790</v>
      </c>
      <c r="B672" s="35">
        <v>8256</v>
      </c>
      <c r="C672" s="35" t="s">
        <v>153</v>
      </c>
      <c r="D672" s="35">
        <v>10</v>
      </c>
      <c r="E672" s="35">
        <v>11</v>
      </c>
      <c r="F672" s="36">
        <v>43482</v>
      </c>
      <c r="G672" s="9">
        <f>VLOOKUP(A672,Sheet9!$A:$F,2,FALSE)</f>
        <v>59000000</v>
      </c>
      <c r="H672" s="9" t="str">
        <f>VLOOKUP(A672,Sheet9!$A:$F,3,FALSE )</f>
        <v>Bahria Town Rawalpindi</v>
      </c>
      <c r="I672" s="9" t="str">
        <f>VLOOKUP(A672,Sheet9!$A:$F,4,FALSE)</f>
        <v>Rawalpindi</v>
      </c>
      <c r="J672" s="9" t="str">
        <f>VLOOKUP(A672,Sheet9!$A:$F,5,FALSE)</f>
        <v>Punjab</v>
      </c>
      <c r="K672" s="9" t="str">
        <f>VLOOKUP(A672,Sheet9!$A:$F,6,FALSE)</f>
        <v>For Sale</v>
      </c>
      <c r="L672" s="9">
        <f t="shared" si="10"/>
        <v>2</v>
      </c>
    </row>
    <row r="673" spans="1:12" ht="15" thickBot="1">
      <c r="A673" s="31">
        <v>6500915</v>
      </c>
      <c r="B673" s="35">
        <v>6741</v>
      </c>
      <c r="C673" s="35" t="s">
        <v>153</v>
      </c>
      <c r="D673" s="35">
        <v>3</v>
      </c>
      <c r="E673" s="35">
        <v>4</v>
      </c>
      <c r="F673" s="36">
        <v>43513</v>
      </c>
      <c r="G673" s="9">
        <f>VLOOKUP(A673,Sheet9!$A:$F,2,FALSE)</f>
        <v>3200000</v>
      </c>
      <c r="H673" s="9" t="str">
        <f>VLOOKUP(A673,Sheet9!$A:$F,3,FALSE )</f>
        <v>Gadap Town</v>
      </c>
      <c r="I673" s="9" t="str">
        <f>VLOOKUP(A673,Sheet9!$A:$F,4,FALSE)</f>
        <v>Karachi</v>
      </c>
      <c r="J673" s="9" t="str">
        <f>VLOOKUP(A673,Sheet9!$A:$F,5,FALSE)</f>
        <v>Sindh</v>
      </c>
      <c r="K673" s="9" t="str">
        <f>VLOOKUP(A673,Sheet9!$A:$F,6,FALSE)</f>
        <v>For Sale</v>
      </c>
      <c r="L673" s="9">
        <f t="shared" si="10"/>
        <v>1</v>
      </c>
    </row>
    <row r="674" spans="1:12" ht="15" thickBot="1">
      <c r="A674" s="31">
        <v>6502989</v>
      </c>
      <c r="B674" s="35">
        <v>3337</v>
      </c>
      <c r="C674" s="35" t="s">
        <v>153</v>
      </c>
      <c r="D674" s="35">
        <v>4</v>
      </c>
      <c r="E674" s="35">
        <v>3</v>
      </c>
      <c r="F674" s="36">
        <v>43663</v>
      </c>
      <c r="G674" s="9">
        <f>VLOOKUP(A674,Sheet9!$A:$F,2,FALSE)</f>
        <v>13000000</v>
      </c>
      <c r="H674" s="9" t="str">
        <f>VLOOKUP(A674,Sheet9!$A:$F,3,FALSE )</f>
        <v>G-13</v>
      </c>
      <c r="I674" s="9" t="str">
        <f>VLOOKUP(A674,Sheet9!$A:$F,4,FALSE)</f>
        <v>Islamabad</v>
      </c>
      <c r="J674" s="9" t="str">
        <f>VLOOKUP(A674,Sheet9!$A:$F,5,FALSE)</f>
        <v>Islamabad Capital</v>
      </c>
      <c r="K674" s="9" t="str">
        <f>VLOOKUP(A674,Sheet9!$A:$F,6,FALSE)</f>
        <v>For Sale</v>
      </c>
      <c r="L674" s="9">
        <f t="shared" si="10"/>
        <v>3</v>
      </c>
    </row>
    <row r="675" spans="1:12" ht="15" thickBot="1">
      <c r="A675" s="31">
        <v>6507566</v>
      </c>
      <c r="B675" s="35">
        <v>9030</v>
      </c>
      <c r="C675" s="35" t="s">
        <v>154</v>
      </c>
      <c r="D675" s="35">
        <v>2</v>
      </c>
      <c r="E675" s="35">
        <v>2</v>
      </c>
      <c r="F675" s="36">
        <v>43594</v>
      </c>
      <c r="G675" s="9">
        <f>VLOOKUP(A675,Sheet9!$A:$F,2,FALSE)</f>
        <v>6000000</v>
      </c>
      <c r="H675" s="9" t="str">
        <f>VLOOKUP(A675,Sheet9!$A:$F,3,FALSE )</f>
        <v>Bahria Town Karachi</v>
      </c>
      <c r="I675" s="9" t="str">
        <f>VLOOKUP(A675,Sheet9!$A:$F,4,FALSE)</f>
        <v>Karachi</v>
      </c>
      <c r="J675" s="9" t="str">
        <f>VLOOKUP(A675,Sheet9!$A:$F,5,FALSE)</f>
        <v>Sindh</v>
      </c>
      <c r="K675" s="9" t="str">
        <f>VLOOKUP(A675,Sheet9!$A:$F,6,FALSE)</f>
        <v>For Sale</v>
      </c>
      <c r="L675" s="9">
        <f t="shared" si="10"/>
        <v>1</v>
      </c>
    </row>
    <row r="676" spans="1:12" ht="15" thickBot="1">
      <c r="A676" s="31">
        <v>6508531</v>
      </c>
      <c r="B676" s="35">
        <v>6858</v>
      </c>
      <c r="C676" s="35" t="s">
        <v>154</v>
      </c>
      <c r="D676" s="35">
        <v>2</v>
      </c>
      <c r="E676" s="35">
        <v>3</v>
      </c>
      <c r="F676" s="36">
        <v>43656</v>
      </c>
      <c r="G676" s="9">
        <f>VLOOKUP(A676,Sheet9!$A:$F,2,FALSE)</f>
        <v>18000000</v>
      </c>
      <c r="H676" s="9" t="str">
        <f>VLOOKUP(A676,Sheet9!$A:$F,3,FALSE )</f>
        <v>Gulshan-e-Iqbal Town</v>
      </c>
      <c r="I676" s="9" t="str">
        <f>VLOOKUP(A676,Sheet9!$A:$F,4,FALSE)</f>
        <v>Karachi</v>
      </c>
      <c r="J676" s="9" t="str">
        <f>VLOOKUP(A676,Sheet9!$A:$F,5,FALSE)</f>
        <v>Sindh</v>
      </c>
      <c r="K676" s="9" t="str">
        <f>VLOOKUP(A676,Sheet9!$A:$F,6,FALSE)</f>
        <v>For Sale</v>
      </c>
      <c r="L676" s="9">
        <f t="shared" si="10"/>
        <v>1</v>
      </c>
    </row>
    <row r="677" spans="1:12" ht="15" thickBot="1">
      <c r="A677" s="31">
        <v>6511996</v>
      </c>
      <c r="B677" s="35">
        <v>11588</v>
      </c>
      <c r="C677" s="35" t="s">
        <v>154</v>
      </c>
      <c r="D677" s="35">
        <v>2</v>
      </c>
      <c r="E677" s="35">
        <v>2</v>
      </c>
      <c r="F677" s="36">
        <v>43513</v>
      </c>
      <c r="G677" s="9">
        <f>VLOOKUP(A677,Sheet9!$A:$F,2,FALSE)</f>
        <v>12400000</v>
      </c>
      <c r="H677" s="9" t="str">
        <f>VLOOKUP(A677,Sheet9!$A:$F,3,FALSE )</f>
        <v>Defence View Society</v>
      </c>
      <c r="I677" s="9" t="str">
        <f>VLOOKUP(A677,Sheet9!$A:$F,4,FALSE)</f>
        <v>Karachi</v>
      </c>
      <c r="J677" s="9" t="str">
        <f>VLOOKUP(A677,Sheet9!$A:$F,5,FALSE)</f>
        <v>Sindh</v>
      </c>
      <c r="K677" s="9" t="str">
        <f>VLOOKUP(A677,Sheet9!$A:$F,6,FALSE)</f>
        <v>For Sale</v>
      </c>
      <c r="L677" s="9">
        <f t="shared" si="10"/>
        <v>1</v>
      </c>
    </row>
    <row r="678" spans="1:12" ht="15" thickBot="1">
      <c r="A678" s="31">
        <v>6512018</v>
      </c>
      <c r="B678" s="35">
        <v>11015</v>
      </c>
      <c r="C678" s="35" t="s">
        <v>154</v>
      </c>
      <c r="D678" s="35">
        <v>2</v>
      </c>
      <c r="E678" s="35">
        <v>3</v>
      </c>
      <c r="F678" s="36">
        <v>43513</v>
      </c>
      <c r="G678" s="9">
        <f>VLOOKUP(A678,Sheet9!$A:$F,2,FALSE)</f>
        <v>9500000</v>
      </c>
      <c r="H678" s="9" t="str">
        <f>VLOOKUP(A678,Sheet9!$A:$F,3,FALSE )</f>
        <v>Cantt</v>
      </c>
      <c r="I678" s="9" t="str">
        <f>VLOOKUP(A678,Sheet9!$A:$F,4,FALSE)</f>
        <v>Karachi</v>
      </c>
      <c r="J678" s="9" t="str">
        <f>VLOOKUP(A678,Sheet9!$A:$F,5,FALSE)</f>
        <v>Sindh</v>
      </c>
      <c r="K678" s="9" t="str">
        <f>VLOOKUP(A678,Sheet9!$A:$F,6,FALSE)</f>
        <v>For Sale</v>
      </c>
      <c r="L678" s="9">
        <f t="shared" si="10"/>
        <v>1</v>
      </c>
    </row>
    <row r="679" spans="1:12" ht="15" thickBot="1">
      <c r="A679" s="31">
        <v>6514524</v>
      </c>
      <c r="B679" s="35">
        <v>3672</v>
      </c>
      <c r="C679" s="35" t="s">
        <v>153</v>
      </c>
      <c r="D679" s="35">
        <v>0</v>
      </c>
      <c r="E679" s="35">
        <v>3</v>
      </c>
      <c r="F679" s="36">
        <v>43588</v>
      </c>
      <c r="G679" s="9">
        <f>VLOOKUP(A679,Sheet9!$A:$F,2,FALSE)</f>
        <v>9000000</v>
      </c>
      <c r="H679" s="9" t="str">
        <f>VLOOKUP(A679,Sheet9!$A:$F,3,FALSE )</f>
        <v>Cantt</v>
      </c>
      <c r="I679" s="9" t="str">
        <f>VLOOKUP(A679,Sheet9!$A:$F,4,FALSE)</f>
        <v>Lahore</v>
      </c>
      <c r="J679" s="9" t="str">
        <f>VLOOKUP(A679,Sheet9!$A:$F,5,FALSE)</f>
        <v>Punjab</v>
      </c>
      <c r="K679" s="9" t="str">
        <f>VLOOKUP(A679,Sheet9!$A:$F,6,FALSE)</f>
        <v>For Sale</v>
      </c>
      <c r="L679" s="9">
        <f t="shared" si="10"/>
        <v>2</v>
      </c>
    </row>
    <row r="680" spans="1:12" ht="15" thickBot="1">
      <c r="A680" s="31">
        <v>6514525</v>
      </c>
      <c r="B680" s="35">
        <v>3672</v>
      </c>
      <c r="C680" s="35" t="s">
        <v>153</v>
      </c>
      <c r="D680" s="35">
        <v>0</v>
      </c>
      <c r="E680" s="35">
        <v>3</v>
      </c>
      <c r="F680" s="36">
        <v>43588</v>
      </c>
      <c r="G680" s="9">
        <f>VLOOKUP(A680,Sheet9!$A:$F,2,FALSE)</f>
        <v>7800000</v>
      </c>
      <c r="H680" s="9" t="str">
        <f>VLOOKUP(A680,Sheet9!$A:$F,3,FALSE )</f>
        <v>Cantt</v>
      </c>
      <c r="I680" s="9" t="str">
        <f>VLOOKUP(A680,Sheet9!$A:$F,4,FALSE)</f>
        <v>Lahore</v>
      </c>
      <c r="J680" s="9" t="str">
        <f>VLOOKUP(A680,Sheet9!$A:$F,5,FALSE)</f>
        <v>Punjab</v>
      </c>
      <c r="K680" s="9" t="str">
        <f>VLOOKUP(A680,Sheet9!$A:$F,6,FALSE)</f>
        <v>For Sale</v>
      </c>
      <c r="L680" s="9">
        <f t="shared" si="10"/>
        <v>2</v>
      </c>
    </row>
    <row r="681" spans="1:12" ht="15" thickBot="1">
      <c r="A681" s="31">
        <v>6524207</v>
      </c>
      <c r="B681" s="35">
        <v>1672</v>
      </c>
      <c r="C681" s="35" t="s">
        <v>153</v>
      </c>
      <c r="D681" s="35">
        <v>3</v>
      </c>
      <c r="E681" s="35">
        <v>3</v>
      </c>
      <c r="F681" s="36">
        <v>43664</v>
      </c>
      <c r="G681" s="9">
        <f>VLOOKUP(A681,Sheet9!$A:$F,2,FALSE)</f>
        <v>80000</v>
      </c>
      <c r="H681" s="9" t="str">
        <f>VLOOKUP(A681,Sheet9!$A:$F,3,FALSE )</f>
        <v>DHA Defence</v>
      </c>
      <c r="I681" s="9" t="str">
        <f>VLOOKUP(A681,Sheet9!$A:$F,4,FALSE)</f>
        <v>Karachi</v>
      </c>
      <c r="J681" s="9" t="str">
        <f>VLOOKUP(A681,Sheet9!$A:$F,5,FALSE)</f>
        <v>Sindh</v>
      </c>
      <c r="K681" s="9" t="str">
        <f>VLOOKUP(A681,Sheet9!$A:$F,6,FALSE)</f>
        <v>For Rent</v>
      </c>
      <c r="L681" s="9">
        <f t="shared" si="10"/>
        <v>1</v>
      </c>
    </row>
    <row r="682" spans="1:12" ht="29.5" thickBot="1">
      <c r="A682" s="31">
        <v>6524222</v>
      </c>
      <c r="B682" s="35">
        <v>1483</v>
      </c>
      <c r="C682" s="35" t="s">
        <v>155</v>
      </c>
      <c r="D682" s="35">
        <v>4</v>
      </c>
      <c r="E682" s="35">
        <v>4</v>
      </c>
      <c r="F682" s="36">
        <v>43514</v>
      </c>
      <c r="G682" s="9">
        <f>VLOOKUP(A682,Sheet9!$A:$F,2,FALSE)</f>
        <v>190000</v>
      </c>
      <c r="H682" s="9" t="str">
        <f>VLOOKUP(A682,Sheet9!$A:$F,3,FALSE )</f>
        <v>DHA Defence</v>
      </c>
      <c r="I682" s="9" t="str">
        <f>VLOOKUP(A682,Sheet9!$A:$F,4,FALSE)</f>
        <v>Karachi</v>
      </c>
      <c r="J682" s="9" t="str">
        <f>VLOOKUP(A682,Sheet9!$A:$F,5,FALSE)</f>
        <v>Sindh</v>
      </c>
      <c r="K682" s="9" t="str">
        <f>VLOOKUP(A682,Sheet9!$A:$F,6,FALSE)</f>
        <v>For Rent</v>
      </c>
      <c r="L682" s="9">
        <f t="shared" si="10"/>
        <v>1</v>
      </c>
    </row>
    <row r="683" spans="1:12" ht="29.5" thickBot="1">
      <c r="A683" s="31">
        <v>6526342</v>
      </c>
      <c r="B683" s="35">
        <v>524</v>
      </c>
      <c r="C683" s="35" t="s">
        <v>156</v>
      </c>
      <c r="D683" s="35">
        <v>3</v>
      </c>
      <c r="E683" s="35">
        <v>4</v>
      </c>
      <c r="F683" s="36">
        <v>43664</v>
      </c>
      <c r="G683" s="9">
        <f>VLOOKUP(A683,Sheet9!$A:$F,2,FALSE)</f>
        <v>70000</v>
      </c>
      <c r="H683" s="9" t="str">
        <f>VLOOKUP(A683,Sheet9!$A:$F,3,FALSE )</f>
        <v>Gulshan-e-Iqbal Town</v>
      </c>
      <c r="I683" s="9" t="str">
        <f>VLOOKUP(A683,Sheet9!$A:$F,4,FALSE)</f>
        <v>Karachi</v>
      </c>
      <c r="J683" s="9" t="str">
        <f>VLOOKUP(A683,Sheet9!$A:$F,5,FALSE)</f>
        <v>Sindh</v>
      </c>
      <c r="K683" s="9" t="str">
        <f>VLOOKUP(A683,Sheet9!$A:$F,6,FALSE)</f>
        <v>For Rent</v>
      </c>
      <c r="L683" s="9">
        <f t="shared" si="10"/>
        <v>1</v>
      </c>
    </row>
    <row r="684" spans="1:12" ht="15" thickBot="1">
      <c r="A684" s="31">
        <v>6553988</v>
      </c>
      <c r="B684" s="35">
        <v>3035</v>
      </c>
      <c r="C684" s="35" t="s">
        <v>154</v>
      </c>
      <c r="D684" s="35">
        <v>2</v>
      </c>
      <c r="E684" s="35">
        <v>2</v>
      </c>
      <c r="F684" s="36">
        <v>43623</v>
      </c>
      <c r="G684" s="9">
        <f>VLOOKUP(A684,Sheet9!$A:$F,2,FALSE)</f>
        <v>50000</v>
      </c>
      <c r="H684" s="9" t="str">
        <f>VLOOKUP(A684,Sheet9!$A:$F,3,FALSE )</f>
        <v>Bahria Town Rawalpindi</v>
      </c>
      <c r="I684" s="9" t="str">
        <f>VLOOKUP(A684,Sheet9!$A:$F,4,FALSE)</f>
        <v>Rawalpindi</v>
      </c>
      <c r="J684" s="9" t="str">
        <f>VLOOKUP(A684,Sheet9!$A:$F,5,FALSE)</f>
        <v>Punjab</v>
      </c>
      <c r="K684" s="9" t="str">
        <f>VLOOKUP(A684,Sheet9!$A:$F,6,FALSE)</f>
        <v>For Rent</v>
      </c>
      <c r="L684" s="9">
        <f t="shared" si="10"/>
        <v>2</v>
      </c>
    </row>
    <row r="685" spans="1:12" ht="15" thickBot="1">
      <c r="A685" s="31">
        <v>6554117</v>
      </c>
      <c r="B685" s="35">
        <v>1504</v>
      </c>
      <c r="C685" s="35" t="s">
        <v>154</v>
      </c>
      <c r="D685" s="35">
        <v>4</v>
      </c>
      <c r="E685" s="35">
        <v>3</v>
      </c>
      <c r="F685" s="36">
        <v>43650</v>
      </c>
      <c r="G685" s="9">
        <f>VLOOKUP(A685,Sheet9!$A:$F,2,FALSE)</f>
        <v>35000</v>
      </c>
      <c r="H685" s="9" t="str">
        <f>VLOOKUP(A685,Sheet9!$A:$F,3,FALSE )</f>
        <v>Askari 14</v>
      </c>
      <c r="I685" s="9" t="str">
        <f>VLOOKUP(A685,Sheet9!$A:$F,4,FALSE)</f>
        <v>Rawalpindi</v>
      </c>
      <c r="J685" s="9" t="str">
        <f>VLOOKUP(A685,Sheet9!$A:$F,5,FALSE)</f>
        <v>Punjab</v>
      </c>
      <c r="K685" s="9" t="str">
        <f>VLOOKUP(A685,Sheet9!$A:$F,6,FALSE)</f>
        <v>For Rent</v>
      </c>
      <c r="L685" s="9">
        <f t="shared" si="10"/>
        <v>2</v>
      </c>
    </row>
    <row r="686" spans="1:12" ht="15" thickBot="1">
      <c r="A686" s="31">
        <v>6567258</v>
      </c>
      <c r="B686" s="35">
        <v>4190</v>
      </c>
      <c r="C686" s="35" t="s">
        <v>153</v>
      </c>
      <c r="D686" s="35">
        <v>6</v>
      </c>
      <c r="E686" s="35">
        <v>5</v>
      </c>
      <c r="F686" s="36">
        <v>43646</v>
      </c>
      <c r="G686" s="9">
        <f>VLOOKUP(A686,Sheet9!$A:$F,2,FALSE)</f>
        <v>33000000</v>
      </c>
      <c r="H686" s="9" t="str">
        <f>VLOOKUP(A686,Sheet9!$A:$F,3,FALSE )</f>
        <v>State Life Housing Society</v>
      </c>
      <c r="I686" s="9" t="str">
        <f>VLOOKUP(A686,Sheet9!$A:$F,4,FALSE)</f>
        <v>Lahore</v>
      </c>
      <c r="J686" s="9" t="str">
        <f>VLOOKUP(A686,Sheet9!$A:$F,5,FALSE)</f>
        <v>Punjab</v>
      </c>
      <c r="K686" s="9" t="str">
        <f>VLOOKUP(A686,Sheet9!$A:$F,6,FALSE)</f>
        <v>For Sale</v>
      </c>
      <c r="L686" s="9">
        <f t="shared" si="10"/>
        <v>2</v>
      </c>
    </row>
    <row r="687" spans="1:12" ht="15" thickBot="1">
      <c r="A687" s="31">
        <v>6570671</v>
      </c>
      <c r="B687" s="35">
        <v>1534</v>
      </c>
      <c r="C687" s="35" t="s">
        <v>153</v>
      </c>
      <c r="D687" s="35">
        <v>0</v>
      </c>
      <c r="E687" s="35">
        <v>0</v>
      </c>
      <c r="F687" s="36">
        <v>43558</v>
      </c>
      <c r="G687" s="9">
        <f>VLOOKUP(A687,Sheet9!$A:$F,2,FALSE)</f>
        <v>75000000</v>
      </c>
      <c r="H687" s="9" t="str">
        <f>VLOOKUP(A687,Sheet9!$A:$F,3,FALSE )</f>
        <v>Garden Town</v>
      </c>
      <c r="I687" s="9" t="str">
        <f>VLOOKUP(A687,Sheet9!$A:$F,4,FALSE)</f>
        <v>Lahore</v>
      </c>
      <c r="J687" s="9" t="str">
        <f>VLOOKUP(A687,Sheet9!$A:$F,5,FALSE)</f>
        <v>Punjab</v>
      </c>
      <c r="K687" s="9" t="str">
        <f>VLOOKUP(A687,Sheet9!$A:$F,6,FALSE)</f>
        <v>For Sale</v>
      </c>
      <c r="L687" s="9">
        <f t="shared" si="10"/>
        <v>2</v>
      </c>
    </row>
    <row r="688" spans="1:12" ht="15" thickBot="1">
      <c r="A688" s="31">
        <v>6575291</v>
      </c>
      <c r="B688" s="35">
        <v>1612</v>
      </c>
      <c r="C688" s="35" t="s">
        <v>153</v>
      </c>
      <c r="D688" s="35">
        <v>0</v>
      </c>
      <c r="E688" s="35">
        <v>5</v>
      </c>
      <c r="F688" s="36">
        <v>43634</v>
      </c>
      <c r="G688" s="9">
        <f>VLOOKUP(A688,Sheet9!$A:$F,2,FALSE)</f>
        <v>55000000</v>
      </c>
      <c r="H688" s="9" t="str">
        <f>VLOOKUP(A688,Sheet9!$A:$F,3,FALSE )</f>
        <v>DHA Defence</v>
      </c>
      <c r="I688" s="9" t="str">
        <f>VLOOKUP(A688,Sheet9!$A:$F,4,FALSE)</f>
        <v>Lahore</v>
      </c>
      <c r="J688" s="9" t="str">
        <f>VLOOKUP(A688,Sheet9!$A:$F,5,FALSE)</f>
        <v>Punjab</v>
      </c>
      <c r="K688" s="9" t="str">
        <f>VLOOKUP(A688,Sheet9!$A:$F,6,FALSE)</f>
        <v>For Sale</v>
      </c>
      <c r="L688" s="9">
        <f t="shared" si="10"/>
        <v>2</v>
      </c>
    </row>
    <row r="689" spans="1:12" ht="15" thickBot="1">
      <c r="A689" s="31">
        <v>6582516</v>
      </c>
      <c r="B689" s="35">
        <v>9143</v>
      </c>
      <c r="C689" s="35" t="s">
        <v>153</v>
      </c>
      <c r="D689" s="35">
        <v>0</v>
      </c>
      <c r="E689" s="35">
        <v>0</v>
      </c>
      <c r="F689" s="36">
        <v>43621</v>
      </c>
      <c r="G689" s="9">
        <f>VLOOKUP(A689,Sheet9!$A:$F,2,FALSE)</f>
        <v>14500000</v>
      </c>
      <c r="H689" s="9" t="str">
        <f>VLOOKUP(A689,Sheet9!$A:$F,3,FALSE )</f>
        <v>Scheme 33</v>
      </c>
      <c r="I689" s="9" t="str">
        <f>VLOOKUP(A689,Sheet9!$A:$F,4,FALSE)</f>
        <v>Karachi</v>
      </c>
      <c r="J689" s="9" t="str">
        <f>VLOOKUP(A689,Sheet9!$A:$F,5,FALSE)</f>
        <v>Sindh</v>
      </c>
      <c r="K689" s="9" t="str">
        <f>VLOOKUP(A689,Sheet9!$A:$F,6,FALSE)</f>
        <v>For Sale</v>
      </c>
      <c r="L689" s="9">
        <f t="shared" si="10"/>
        <v>1</v>
      </c>
    </row>
    <row r="690" spans="1:12" ht="15" thickBot="1">
      <c r="A690" s="31">
        <v>6583570</v>
      </c>
      <c r="B690" s="35">
        <v>11580</v>
      </c>
      <c r="C690" s="35" t="s">
        <v>153</v>
      </c>
      <c r="D690" s="35">
        <v>6</v>
      </c>
      <c r="E690" s="35">
        <v>5</v>
      </c>
      <c r="F690" s="36">
        <v>43621</v>
      </c>
      <c r="G690" s="9">
        <f>VLOOKUP(A690,Sheet9!$A:$F,2,FALSE)</f>
        <v>97000000</v>
      </c>
      <c r="H690" s="9" t="str">
        <f>VLOOKUP(A690,Sheet9!$A:$F,3,FALSE )</f>
        <v>Navy Housing Scheme Karsaz</v>
      </c>
      <c r="I690" s="9" t="str">
        <f>VLOOKUP(A690,Sheet9!$A:$F,4,FALSE)</f>
        <v>Karachi</v>
      </c>
      <c r="J690" s="9" t="str">
        <f>VLOOKUP(A690,Sheet9!$A:$F,5,FALSE)</f>
        <v>Sindh</v>
      </c>
      <c r="K690" s="9" t="str">
        <f>VLOOKUP(A690,Sheet9!$A:$F,6,FALSE)</f>
        <v>For Sale</v>
      </c>
      <c r="L690" s="9">
        <f t="shared" si="10"/>
        <v>1</v>
      </c>
    </row>
    <row r="691" spans="1:12" ht="15" thickBot="1">
      <c r="A691" s="31">
        <v>6592418</v>
      </c>
      <c r="B691" s="35">
        <v>6908</v>
      </c>
      <c r="C691" s="35" t="s">
        <v>153</v>
      </c>
      <c r="D691" s="35">
        <v>7</v>
      </c>
      <c r="E691" s="35">
        <v>6</v>
      </c>
      <c r="F691" s="36">
        <v>43623</v>
      </c>
      <c r="G691" s="9">
        <f>VLOOKUP(A691,Sheet9!$A:$F,2,FALSE)</f>
        <v>222500000</v>
      </c>
      <c r="H691" s="9" t="str">
        <f>VLOOKUP(A691,Sheet9!$A:$F,3,FALSE )</f>
        <v>Gulshan-e-Iqbal Town</v>
      </c>
      <c r="I691" s="9" t="str">
        <f>VLOOKUP(A691,Sheet9!$A:$F,4,FALSE)</f>
        <v>Karachi</v>
      </c>
      <c r="J691" s="9" t="str">
        <f>VLOOKUP(A691,Sheet9!$A:$F,5,FALSE)</f>
        <v>Sindh</v>
      </c>
      <c r="K691" s="9" t="str">
        <f>VLOOKUP(A691,Sheet9!$A:$F,6,FALSE)</f>
        <v>For Sale</v>
      </c>
      <c r="L691" s="9">
        <f t="shared" si="10"/>
        <v>1</v>
      </c>
    </row>
    <row r="692" spans="1:12" ht="15" thickBot="1">
      <c r="A692" s="31">
        <v>6594235</v>
      </c>
      <c r="B692" s="35">
        <v>11905</v>
      </c>
      <c r="C692" s="35" t="s">
        <v>154</v>
      </c>
      <c r="D692" s="35">
        <v>4</v>
      </c>
      <c r="E692" s="35">
        <v>3</v>
      </c>
      <c r="F692" s="36">
        <v>43620</v>
      </c>
      <c r="G692" s="9">
        <f>VLOOKUP(A692,Sheet9!$A:$F,2,FALSE)</f>
        <v>15500000</v>
      </c>
      <c r="H692" s="9" t="str">
        <f>VLOOKUP(A692,Sheet9!$A:$F,3,FALSE )</f>
        <v>DHA Defence</v>
      </c>
      <c r="I692" s="9" t="str">
        <f>VLOOKUP(A692,Sheet9!$A:$F,4,FALSE)</f>
        <v>Islamabad</v>
      </c>
      <c r="J692" s="9" t="str">
        <f>VLOOKUP(A692,Sheet9!$A:$F,5,FALSE)</f>
        <v>Islamabad Capital</v>
      </c>
      <c r="K692" s="9" t="str">
        <f>VLOOKUP(A692,Sheet9!$A:$F,6,FALSE)</f>
        <v>For Sale</v>
      </c>
      <c r="L692" s="9">
        <f t="shared" si="10"/>
        <v>3</v>
      </c>
    </row>
    <row r="693" spans="1:12" ht="15" thickBot="1">
      <c r="A693" s="31">
        <v>6594256</v>
      </c>
      <c r="B693" s="35">
        <v>3102</v>
      </c>
      <c r="C693" s="35" t="s">
        <v>153</v>
      </c>
      <c r="D693" s="35">
        <v>4</v>
      </c>
      <c r="E693" s="35">
        <v>4</v>
      </c>
      <c r="F693" s="36">
        <v>43618</v>
      </c>
      <c r="G693" s="9">
        <f>VLOOKUP(A693,Sheet9!$A:$F,2,FALSE)</f>
        <v>33500000</v>
      </c>
      <c r="H693" s="9" t="str">
        <f>VLOOKUP(A693,Sheet9!$A:$F,3,FALSE )</f>
        <v>Gulberg</v>
      </c>
      <c r="I693" s="9" t="str">
        <f>VLOOKUP(A693,Sheet9!$A:$F,4,FALSE)</f>
        <v>Lahore</v>
      </c>
      <c r="J693" s="9" t="str">
        <f>VLOOKUP(A693,Sheet9!$A:$F,5,FALSE)</f>
        <v>Punjab</v>
      </c>
      <c r="K693" s="9" t="str">
        <f>VLOOKUP(A693,Sheet9!$A:$F,6,FALSE)</f>
        <v>For Sale</v>
      </c>
      <c r="L693" s="9">
        <f t="shared" si="10"/>
        <v>2</v>
      </c>
    </row>
    <row r="694" spans="1:12" ht="15" thickBot="1">
      <c r="A694" s="31">
        <v>6598944</v>
      </c>
      <c r="B694" s="35">
        <v>616</v>
      </c>
      <c r="C694" s="35" t="s">
        <v>153</v>
      </c>
      <c r="D694" s="35">
        <v>10</v>
      </c>
      <c r="E694" s="35">
        <v>8</v>
      </c>
      <c r="F694" s="36">
        <v>43350</v>
      </c>
      <c r="G694" s="9">
        <f>VLOOKUP(A694,Sheet9!$A:$F,2,FALSE)</f>
        <v>32000000</v>
      </c>
      <c r="H694" s="9" t="str">
        <f>VLOOKUP(A694,Sheet9!$A:$F,3,FALSE )</f>
        <v>B-17</v>
      </c>
      <c r="I694" s="9" t="str">
        <f>VLOOKUP(A694,Sheet9!$A:$F,4,FALSE)</f>
        <v>Islamabad</v>
      </c>
      <c r="J694" s="9" t="str">
        <f>VLOOKUP(A694,Sheet9!$A:$F,5,FALSE)</f>
        <v>Islamabad Capital</v>
      </c>
      <c r="K694" s="9" t="str">
        <f>VLOOKUP(A694,Sheet9!$A:$F,6,FALSE)</f>
        <v>For Sale</v>
      </c>
      <c r="L694" s="9">
        <f t="shared" si="10"/>
        <v>3</v>
      </c>
    </row>
    <row r="695" spans="1:12" ht="15" thickBot="1">
      <c r="A695" s="31">
        <v>6599094</v>
      </c>
      <c r="B695" s="35">
        <v>3314</v>
      </c>
      <c r="C695" s="35" t="s">
        <v>153</v>
      </c>
      <c r="D695" s="35">
        <v>5</v>
      </c>
      <c r="E695" s="35">
        <v>4</v>
      </c>
      <c r="F695" s="36">
        <v>43647</v>
      </c>
      <c r="G695" s="9">
        <f>VLOOKUP(A695,Sheet9!$A:$F,2,FALSE)</f>
        <v>50000000</v>
      </c>
      <c r="H695" s="9" t="str">
        <f>VLOOKUP(A695,Sheet9!$A:$F,3,FALSE )</f>
        <v>F-8</v>
      </c>
      <c r="I695" s="9" t="str">
        <f>VLOOKUP(A695,Sheet9!$A:$F,4,FALSE)</f>
        <v>Islamabad</v>
      </c>
      <c r="J695" s="9" t="str">
        <f>VLOOKUP(A695,Sheet9!$A:$F,5,FALSE)</f>
        <v>Islamabad Capital</v>
      </c>
      <c r="K695" s="9" t="str">
        <f>VLOOKUP(A695,Sheet9!$A:$F,6,FALSE)</f>
        <v>For Sale</v>
      </c>
      <c r="L695" s="9">
        <f t="shared" si="10"/>
        <v>3</v>
      </c>
    </row>
    <row r="696" spans="1:12" ht="15" thickBot="1">
      <c r="A696" s="31">
        <v>6601202</v>
      </c>
      <c r="B696" s="35">
        <v>10663</v>
      </c>
      <c r="C696" s="35" t="s">
        <v>154</v>
      </c>
      <c r="D696" s="35">
        <v>4</v>
      </c>
      <c r="E696" s="35">
        <v>3</v>
      </c>
      <c r="F696" s="36">
        <v>43620</v>
      </c>
      <c r="G696" s="9">
        <f>VLOOKUP(A696,Sheet9!$A:$F,2,FALSE)</f>
        <v>15000000</v>
      </c>
      <c r="H696" s="9" t="str">
        <f>VLOOKUP(A696,Sheet9!$A:$F,3,FALSE )</f>
        <v>DHA Defence</v>
      </c>
      <c r="I696" s="9" t="str">
        <f>VLOOKUP(A696,Sheet9!$A:$F,4,FALSE)</f>
        <v>Islamabad</v>
      </c>
      <c r="J696" s="9" t="str">
        <f>VLOOKUP(A696,Sheet9!$A:$F,5,FALSE)</f>
        <v>Islamabad Capital</v>
      </c>
      <c r="K696" s="9" t="str">
        <f>VLOOKUP(A696,Sheet9!$A:$F,6,FALSE)</f>
        <v>For Sale</v>
      </c>
      <c r="L696" s="9">
        <f t="shared" si="10"/>
        <v>3</v>
      </c>
    </row>
    <row r="697" spans="1:12" ht="15" thickBot="1">
      <c r="A697" s="31">
        <v>6605300</v>
      </c>
      <c r="B697" s="35">
        <v>5984</v>
      </c>
      <c r="C697" s="35" t="s">
        <v>153</v>
      </c>
      <c r="D697" s="35">
        <v>7</v>
      </c>
      <c r="E697" s="35">
        <v>6</v>
      </c>
      <c r="F697" s="36">
        <v>43530</v>
      </c>
      <c r="G697" s="9">
        <f>VLOOKUP(A697,Sheet9!$A:$F,2,FALSE)</f>
        <v>25000000</v>
      </c>
      <c r="H697" s="9" t="str">
        <f>VLOOKUP(A697,Sheet9!$A:$F,3,FALSE )</f>
        <v>Affandi Colony</v>
      </c>
      <c r="I697" s="9" t="str">
        <f>VLOOKUP(A697,Sheet9!$A:$F,4,FALSE)</f>
        <v>Rawalpindi</v>
      </c>
      <c r="J697" s="9" t="str">
        <f>VLOOKUP(A697,Sheet9!$A:$F,5,FALSE)</f>
        <v>Punjab</v>
      </c>
      <c r="K697" s="9" t="str">
        <f>VLOOKUP(A697,Sheet9!$A:$F,6,FALSE)</f>
        <v>For Sale</v>
      </c>
      <c r="L697" s="9">
        <f t="shared" si="10"/>
        <v>2</v>
      </c>
    </row>
    <row r="698" spans="1:12" ht="15" thickBot="1">
      <c r="A698" s="31">
        <v>6632551</v>
      </c>
      <c r="B698" s="35">
        <v>383</v>
      </c>
      <c r="C698" s="35" t="s">
        <v>153</v>
      </c>
      <c r="D698" s="35">
        <v>6</v>
      </c>
      <c r="E698" s="35">
        <v>5</v>
      </c>
      <c r="F698" s="36">
        <v>43636</v>
      </c>
      <c r="G698" s="9">
        <f>VLOOKUP(A698,Sheet9!$A:$F,2,FALSE)</f>
        <v>21000000</v>
      </c>
      <c r="H698" s="9" t="str">
        <f>VLOOKUP(A698,Sheet9!$A:$F,3,FALSE )</f>
        <v>Bahria Town</v>
      </c>
      <c r="I698" s="9" t="str">
        <f>VLOOKUP(A698,Sheet9!$A:$F,4,FALSE)</f>
        <v>Islamabad</v>
      </c>
      <c r="J698" s="9" t="str">
        <f>VLOOKUP(A698,Sheet9!$A:$F,5,FALSE)</f>
        <v>Islamabad Capital</v>
      </c>
      <c r="K698" s="9" t="str">
        <f>VLOOKUP(A698,Sheet9!$A:$F,6,FALSE)</f>
        <v>For Sale</v>
      </c>
      <c r="L698" s="9">
        <f t="shared" si="10"/>
        <v>3</v>
      </c>
    </row>
    <row r="699" spans="1:12" ht="15" thickBot="1">
      <c r="A699" s="31">
        <v>6633630</v>
      </c>
      <c r="B699" s="35">
        <v>166</v>
      </c>
      <c r="C699" s="35" t="s">
        <v>153</v>
      </c>
      <c r="D699" s="35">
        <v>5</v>
      </c>
      <c r="E699" s="35">
        <v>5</v>
      </c>
      <c r="F699" s="36">
        <v>43647</v>
      </c>
      <c r="G699" s="9">
        <f>VLOOKUP(A699,Sheet9!$A:$F,2,FALSE)</f>
        <v>80000000</v>
      </c>
      <c r="H699" s="9" t="str">
        <f>VLOOKUP(A699,Sheet9!$A:$F,3,FALSE )</f>
        <v>F-8</v>
      </c>
      <c r="I699" s="9" t="str">
        <f>VLOOKUP(A699,Sheet9!$A:$F,4,FALSE)</f>
        <v>Islamabad</v>
      </c>
      <c r="J699" s="9" t="str">
        <f>VLOOKUP(A699,Sheet9!$A:$F,5,FALSE)</f>
        <v>Islamabad Capital</v>
      </c>
      <c r="K699" s="9" t="str">
        <f>VLOOKUP(A699,Sheet9!$A:$F,6,FALSE)</f>
        <v>For Sale</v>
      </c>
      <c r="L699" s="9">
        <f t="shared" si="10"/>
        <v>3</v>
      </c>
    </row>
    <row r="700" spans="1:12" ht="15" thickBot="1">
      <c r="A700" s="31">
        <v>6635383</v>
      </c>
      <c r="B700" s="35">
        <v>427</v>
      </c>
      <c r="C700" s="35" t="s">
        <v>153</v>
      </c>
      <c r="D700" s="35">
        <v>6</v>
      </c>
      <c r="E700" s="35">
        <v>5</v>
      </c>
      <c r="F700" s="36">
        <v>43634</v>
      </c>
      <c r="G700" s="9">
        <f>VLOOKUP(A700,Sheet9!$A:$F,2,FALSE)</f>
        <v>200000000</v>
      </c>
      <c r="H700" s="9" t="str">
        <f>VLOOKUP(A700,Sheet9!$A:$F,3,FALSE )</f>
        <v>Cantt</v>
      </c>
      <c r="I700" s="9" t="str">
        <f>VLOOKUP(A700,Sheet9!$A:$F,4,FALSE)</f>
        <v>Lahore</v>
      </c>
      <c r="J700" s="9" t="str">
        <f>VLOOKUP(A700,Sheet9!$A:$F,5,FALSE)</f>
        <v>Punjab</v>
      </c>
      <c r="K700" s="9" t="str">
        <f>VLOOKUP(A700,Sheet9!$A:$F,6,FALSE)</f>
        <v>For Sale</v>
      </c>
      <c r="L700" s="9">
        <f t="shared" si="10"/>
        <v>2</v>
      </c>
    </row>
    <row r="701" spans="1:12" ht="15" thickBot="1">
      <c r="A701" s="31">
        <v>6635443</v>
      </c>
      <c r="B701" s="35">
        <v>427</v>
      </c>
      <c r="C701" s="35" t="s">
        <v>153</v>
      </c>
      <c r="D701" s="35">
        <v>6</v>
      </c>
      <c r="E701" s="35">
        <v>5</v>
      </c>
      <c r="F701" s="36">
        <v>43634</v>
      </c>
      <c r="G701" s="9">
        <f>VLOOKUP(A701,Sheet9!$A:$F,2,FALSE)</f>
        <v>65000000</v>
      </c>
      <c r="H701" s="9" t="str">
        <f>VLOOKUP(A701,Sheet9!$A:$F,3,FALSE )</f>
        <v>Cantt</v>
      </c>
      <c r="I701" s="9" t="str">
        <f>VLOOKUP(A701,Sheet9!$A:$F,4,FALSE)</f>
        <v>Lahore</v>
      </c>
      <c r="J701" s="9" t="str">
        <f>VLOOKUP(A701,Sheet9!$A:$F,5,FALSE)</f>
        <v>Punjab</v>
      </c>
      <c r="K701" s="9" t="str">
        <f>VLOOKUP(A701,Sheet9!$A:$F,6,FALSE)</f>
        <v>For Sale</v>
      </c>
      <c r="L701" s="9">
        <f t="shared" si="10"/>
        <v>2</v>
      </c>
    </row>
    <row r="702" spans="1:12" ht="15" thickBot="1">
      <c r="A702" s="31">
        <v>6636158</v>
      </c>
      <c r="B702" s="35">
        <v>3332</v>
      </c>
      <c r="C702" s="35" t="s">
        <v>154</v>
      </c>
      <c r="D702" s="35">
        <v>3</v>
      </c>
      <c r="E702" s="35">
        <v>3</v>
      </c>
      <c r="F702" s="36">
        <v>43620</v>
      </c>
      <c r="G702" s="9">
        <f>VLOOKUP(A702,Sheet9!$A:$F,2,FALSE)</f>
        <v>10500000</v>
      </c>
      <c r="H702" s="9" t="str">
        <f>VLOOKUP(A702,Sheet9!$A:$F,3,FALSE )</f>
        <v>G-11</v>
      </c>
      <c r="I702" s="9" t="str">
        <f>VLOOKUP(A702,Sheet9!$A:$F,4,FALSE)</f>
        <v>Islamabad</v>
      </c>
      <c r="J702" s="9" t="str">
        <f>VLOOKUP(A702,Sheet9!$A:$F,5,FALSE)</f>
        <v>Islamabad Capital</v>
      </c>
      <c r="K702" s="9" t="str">
        <f>VLOOKUP(A702,Sheet9!$A:$F,6,FALSE)</f>
        <v>For Sale</v>
      </c>
      <c r="L702" s="9">
        <f t="shared" si="10"/>
        <v>3</v>
      </c>
    </row>
    <row r="703" spans="1:12" ht="15" thickBot="1">
      <c r="A703" s="31">
        <v>6636850</v>
      </c>
      <c r="B703" s="35">
        <v>3369</v>
      </c>
      <c r="C703" s="35" t="s">
        <v>154</v>
      </c>
      <c r="D703" s="35">
        <v>2</v>
      </c>
      <c r="E703" s="35">
        <v>3</v>
      </c>
      <c r="F703" s="36">
        <v>43663</v>
      </c>
      <c r="G703" s="9">
        <f>VLOOKUP(A703,Sheet9!$A:$F,2,FALSE)</f>
        <v>12500000</v>
      </c>
      <c r="H703" s="9" t="str">
        <f>VLOOKUP(A703,Sheet9!$A:$F,3,FALSE )</f>
        <v>G-7</v>
      </c>
      <c r="I703" s="9" t="str">
        <f>VLOOKUP(A703,Sheet9!$A:$F,4,FALSE)</f>
        <v>Islamabad</v>
      </c>
      <c r="J703" s="9" t="str">
        <f>VLOOKUP(A703,Sheet9!$A:$F,5,FALSE)</f>
        <v>Islamabad Capital</v>
      </c>
      <c r="K703" s="9" t="str">
        <f>VLOOKUP(A703,Sheet9!$A:$F,6,FALSE)</f>
        <v>For Sale</v>
      </c>
      <c r="L703" s="9">
        <f t="shared" si="10"/>
        <v>3</v>
      </c>
    </row>
    <row r="704" spans="1:12" ht="15" thickBot="1">
      <c r="A704" s="31">
        <v>6639644</v>
      </c>
      <c r="B704" s="35">
        <v>6648</v>
      </c>
      <c r="C704" s="35" t="s">
        <v>153</v>
      </c>
      <c r="D704" s="35">
        <v>6</v>
      </c>
      <c r="E704" s="35">
        <v>5</v>
      </c>
      <c r="F704" s="36">
        <v>43647</v>
      </c>
      <c r="G704" s="9">
        <f>VLOOKUP(A704,Sheet9!$A:$F,2,FALSE)</f>
        <v>100000000</v>
      </c>
      <c r="H704" s="9" t="str">
        <f>VLOOKUP(A704,Sheet9!$A:$F,3,FALSE )</f>
        <v>Cantt</v>
      </c>
      <c r="I704" s="9" t="str">
        <f>VLOOKUP(A704,Sheet9!$A:$F,4,FALSE)</f>
        <v>Karachi</v>
      </c>
      <c r="J704" s="9" t="str">
        <f>VLOOKUP(A704,Sheet9!$A:$F,5,FALSE)</f>
        <v>Sindh</v>
      </c>
      <c r="K704" s="9" t="str">
        <f>VLOOKUP(A704,Sheet9!$A:$F,6,FALSE)</f>
        <v>For Sale</v>
      </c>
      <c r="L704" s="9">
        <f t="shared" si="10"/>
        <v>1</v>
      </c>
    </row>
    <row r="705" spans="1:12" ht="15" thickBot="1">
      <c r="A705" s="31">
        <v>6641667</v>
      </c>
      <c r="B705" s="35">
        <v>329</v>
      </c>
      <c r="C705" s="35" t="s">
        <v>153</v>
      </c>
      <c r="D705" s="35">
        <v>9</v>
      </c>
      <c r="E705" s="35">
        <v>9</v>
      </c>
      <c r="F705" s="36">
        <v>43632</v>
      </c>
      <c r="G705" s="9">
        <f>VLOOKUP(A705,Sheet9!$A:$F,2,FALSE)</f>
        <v>300000</v>
      </c>
      <c r="H705" s="9" t="str">
        <f>VLOOKUP(A705,Sheet9!$A:$F,3,FALSE )</f>
        <v>E-11</v>
      </c>
      <c r="I705" s="9" t="str">
        <f>VLOOKUP(A705,Sheet9!$A:$F,4,FALSE)</f>
        <v>Islamabad</v>
      </c>
      <c r="J705" s="9" t="str">
        <f>VLOOKUP(A705,Sheet9!$A:$F,5,FALSE)</f>
        <v>Islamabad Capital</v>
      </c>
      <c r="K705" s="9" t="str">
        <f>VLOOKUP(A705,Sheet9!$A:$F,6,FALSE)</f>
        <v>For Rent</v>
      </c>
      <c r="L705" s="9">
        <f t="shared" si="10"/>
        <v>3</v>
      </c>
    </row>
    <row r="706" spans="1:12" ht="15" thickBot="1">
      <c r="A706" s="31">
        <v>6652396</v>
      </c>
      <c r="B706" s="35">
        <v>1694</v>
      </c>
      <c r="C706" s="35" t="s">
        <v>153</v>
      </c>
      <c r="D706" s="35">
        <v>2</v>
      </c>
      <c r="E706" s="35">
        <v>3</v>
      </c>
      <c r="F706" s="36">
        <v>43634</v>
      </c>
      <c r="G706" s="9">
        <f>VLOOKUP(A706,Sheet9!$A:$F,2,FALSE)</f>
        <v>6550000</v>
      </c>
      <c r="H706" s="9" t="str">
        <f>VLOOKUP(A706,Sheet9!$A:$F,3,FALSE )</f>
        <v>Eden</v>
      </c>
      <c r="I706" s="9" t="str">
        <f>VLOOKUP(A706,Sheet9!$A:$F,4,FALSE)</f>
        <v>Lahore</v>
      </c>
      <c r="J706" s="9" t="str">
        <f>VLOOKUP(A706,Sheet9!$A:$F,5,FALSE)</f>
        <v>Punjab</v>
      </c>
      <c r="K706" s="9" t="str">
        <f>VLOOKUP(A706,Sheet9!$A:$F,6,FALSE)</f>
        <v>For Sale</v>
      </c>
      <c r="L706" s="9">
        <f t="shared" si="10"/>
        <v>2</v>
      </c>
    </row>
    <row r="707" spans="1:12" ht="15" thickBot="1">
      <c r="A707" s="31">
        <v>6653620</v>
      </c>
      <c r="B707" s="35">
        <v>8298</v>
      </c>
      <c r="C707" s="35" t="s">
        <v>153</v>
      </c>
      <c r="D707" s="35">
        <v>3</v>
      </c>
      <c r="E707" s="35">
        <v>3</v>
      </c>
      <c r="F707" s="36">
        <v>43646</v>
      </c>
      <c r="G707" s="9">
        <f>VLOOKUP(A707,Sheet9!$A:$F,2,FALSE)</f>
        <v>8000000</v>
      </c>
      <c r="H707" s="9" t="str">
        <f>VLOOKUP(A707,Sheet9!$A:$F,3,FALSE )</f>
        <v>Bahria Town Karachi</v>
      </c>
      <c r="I707" s="9" t="str">
        <f>VLOOKUP(A707,Sheet9!$A:$F,4,FALSE)</f>
        <v>Karachi</v>
      </c>
      <c r="J707" s="9" t="str">
        <f>VLOOKUP(A707,Sheet9!$A:$F,5,FALSE)</f>
        <v>Sindh</v>
      </c>
      <c r="K707" s="9" t="str">
        <f>VLOOKUP(A707,Sheet9!$A:$F,6,FALSE)</f>
        <v>For Sale</v>
      </c>
      <c r="L707" s="9">
        <f t="shared" ref="L707:L729" si="11">HLOOKUP(J707,$N$1:$P$2,2,FALSE)</f>
        <v>1</v>
      </c>
    </row>
    <row r="708" spans="1:12" ht="15" thickBot="1">
      <c r="A708" s="31">
        <v>6653703</v>
      </c>
      <c r="B708" s="35">
        <v>3241</v>
      </c>
      <c r="C708" s="35" t="s">
        <v>154</v>
      </c>
      <c r="D708" s="35">
        <v>3</v>
      </c>
      <c r="E708" s="35">
        <v>3</v>
      </c>
      <c r="F708" s="36">
        <v>43632</v>
      </c>
      <c r="G708" s="9">
        <f>VLOOKUP(A708,Sheet9!$A:$F,2,FALSE)</f>
        <v>40000</v>
      </c>
      <c r="H708" s="9" t="str">
        <f>VLOOKUP(A708,Sheet9!$A:$F,3,FALSE )</f>
        <v>E-11</v>
      </c>
      <c r="I708" s="9" t="str">
        <f>VLOOKUP(A708,Sheet9!$A:$F,4,FALSE)</f>
        <v>Islamabad</v>
      </c>
      <c r="J708" s="9" t="str">
        <f>VLOOKUP(A708,Sheet9!$A:$F,5,FALSE)</f>
        <v>Islamabad Capital</v>
      </c>
      <c r="K708" s="9" t="str">
        <f>VLOOKUP(A708,Sheet9!$A:$F,6,FALSE)</f>
        <v>For Rent</v>
      </c>
      <c r="L708" s="9">
        <f t="shared" si="11"/>
        <v>3</v>
      </c>
    </row>
    <row r="709" spans="1:12" ht="15" thickBot="1">
      <c r="A709" s="31">
        <v>6658157</v>
      </c>
      <c r="B709" s="35">
        <v>8363</v>
      </c>
      <c r="C709" s="35" t="s">
        <v>154</v>
      </c>
      <c r="D709" s="35">
        <v>2</v>
      </c>
      <c r="E709" s="35">
        <v>2</v>
      </c>
      <c r="F709" s="36">
        <v>43643</v>
      </c>
      <c r="G709" s="9">
        <f>VLOOKUP(A709,Sheet9!$A:$F,2,FALSE)</f>
        <v>4800000</v>
      </c>
      <c r="H709" s="9" t="str">
        <f>VLOOKUP(A709,Sheet9!$A:$F,3,FALSE )</f>
        <v>Bahria Town Karachi</v>
      </c>
      <c r="I709" s="9" t="str">
        <f>VLOOKUP(A709,Sheet9!$A:$F,4,FALSE)</f>
        <v>Karachi</v>
      </c>
      <c r="J709" s="9" t="str">
        <f>VLOOKUP(A709,Sheet9!$A:$F,5,FALSE)</f>
        <v>Sindh</v>
      </c>
      <c r="K709" s="9" t="str">
        <f>VLOOKUP(A709,Sheet9!$A:$F,6,FALSE)</f>
        <v>For Sale</v>
      </c>
      <c r="L709" s="9">
        <f t="shared" si="11"/>
        <v>1</v>
      </c>
    </row>
    <row r="710" spans="1:12" ht="15" thickBot="1">
      <c r="A710" s="31">
        <v>6659331</v>
      </c>
      <c r="B710" s="35">
        <v>3678</v>
      </c>
      <c r="C710" s="35" t="s">
        <v>153</v>
      </c>
      <c r="D710" s="35">
        <v>0</v>
      </c>
      <c r="E710" s="35">
        <v>0</v>
      </c>
      <c r="F710" s="36">
        <v>43588</v>
      </c>
      <c r="G710" s="9">
        <f>VLOOKUP(A710,Sheet9!$A:$F,2,FALSE)</f>
        <v>51500000</v>
      </c>
      <c r="H710" s="9" t="str">
        <f>VLOOKUP(A710,Sheet9!$A:$F,3,FALSE )</f>
        <v>Cantt</v>
      </c>
      <c r="I710" s="9" t="str">
        <f>VLOOKUP(A710,Sheet9!$A:$F,4,FALSE)</f>
        <v>Lahore</v>
      </c>
      <c r="J710" s="9" t="str">
        <f>VLOOKUP(A710,Sheet9!$A:$F,5,FALSE)</f>
        <v>Punjab</v>
      </c>
      <c r="K710" s="9" t="str">
        <f>VLOOKUP(A710,Sheet9!$A:$F,6,FALSE)</f>
        <v>For Sale</v>
      </c>
      <c r="L710" s="9">
        <f t="shared" si="11"/>
        <v>2</v>
      </c>
    </row>
    <row r="711" spans="1:12" ht="15" thickBot="1">
      <c r="A711" s="31">
        <v>6662194</v>
      </c>
      <c r="B711" s="35">
        <v>3035</v>
      </c>
      <c r="C711" s="35" t="s">
        <v>153</v>
      </c>
      <c r="D711" s="35">
        <v>5</v>
      </c>
      <c r="E711" s="35">
        <v>5</v>
      </c>
      <c r="F711" s="36">
        <v>43662</v>
      </c>
      <c r="G711" s="9">
        <f>VLOOKUP(A711,Sheet9!$A:$F,2,FALSE)</f>
        <v>38500000</v>
      </c>
      <c r="H711" s="9" t="str">
        <f>VLOOKUP(A711,Sheet9!$A:$F,3,FALSE )</f>
        <v>Bahria Town Rawalpindi</v>
      </c>
      <c r="I711" s="9" t="str">
        <f>VLOOKUP(A711,Sheet9!$A:$F,4,FALSE)</f>
        <v>Rawalpindi</v>
      </c>
      <c r="J711" s="9" t="str">
        <f>VLOOKUP(A711,Sheet9!$A:$F,5,FALSE)</f>
        <v>Punjab</v>
      </c>
      <c r="K711" s="9" t="str">
        <f>VLOOKUP(A711,Sheet9!$A:$F,6,FALSE)</f>
        <v>For Sale</v>
      </c>
      <c r="L711" s="9">
        <f t="shared" si="11"/>
        <v>2</v>
      </c>
    </row>
    <row r="712" spans="1:12" ht="15" thickBot="1">
      <c r="A712" s="31">
        <v>6664232</v>
      </c>
      <c r="B712" s="35">
        <v>383</v>
      </c>
      <c r="C712" s="35" t="s">
        <v>153</v>
      </c>
      <c r="D712" s="35">
        <v>7</v>
      </c>
      <c r="E712" s="35">
        <v>6</v>
      </c>
      <c r="F712" s="36">
        <v>43530</v>
      </c>
      <c r="G712" s="9">
        <f>VLOOKUP(A712,Sheet9!$A:$F,2,FALSE)</f>
        <v>36500000</v>
      </c>
      <c r="H712" s="9" t="str">
        <f>VLOOKUP(A712,Sheet9!$A:$F,3,FALSE )</f>
        <v>Bahria Town</v>
      </c>
      <c r="I712" s="9" t="str">
        <f>VLOOKUP(A712,Sheet9!$A:$F,4,FALSE)</f>
        <v>Islamabad</v>
      </c>
      <c r="J712" s="9" t="str">
        <f>VLOOKUP(A712,Sheet9!$A:$F,5,FALSE)</f>
        <v>Islamabad Capital</v>
      </c>
      <c r="K712" s="9" t="str">
        <f>VLOOKUP(A712,Sheet9!$A:$F,6,FALSE)</f>
        <v>For Sale</v>
      </c>
      <c r="L712" s="9">
        <f t="shared" si="11"/>
        <v>3</v>
      </c>
    </row>
    <row r="713" spans="1:12" ht="15" thickBot="1">
      <c r="A713" s="31">
        <v>6664295</v>
      </c>
      <c r="B713" s="35">
        <v>3036</v>
      </c>
      <c r="C713" s="35" t="s">
        <v>153</v>
      </c>
      <c r="D713" s="35">
        <v>6</v>
      </c>
      <c r="E713" s="35">
        <v>5</v>
      </c>
      <c r="F713" s="36">
        <v>43649</v>
      </c>
      <c r="G713" s="9">
        <f>VLOOKUP(A713,Sheet9!$A:$F,2,FALSE)</f>
        <v>21000000</v>
      </c>
      <c r="H713" s="9" t="str">
        <f>VLOOKUP(A713,Sheet9!$A:$F,3,FALSE )</f>
        <v>Bahria Town Rawalpindi</v>
      </c>
      <c r="I713" s="9" t="str">
        <f>VLOOKUP(A713,Sheet9!$A:$F,4,FALSE)</f>
        <v>Rawalpindi</v>
      </c>
      <c r="J713" s="9" t="str">
        <f>VLOOKUP(A713,Sheet9!$A:$F,5,FALSE)</f>
        <v>Punjab</v>
      </c>
      <c r="K713" s="9" t="str">
        <f>VLOOKUP(A713,Sheet9!$A:$F,6,FALSE)</f>
        <v>For Sale</v>
      </c>
      <c r="L713" s="9">
        <f t="shared" si="11"/>
        <v>2</v>
      </c>
    </row>
    <row r="714" spans="1:12" ht="15" thickBot="1">
      <c r="A714" s="31">
        <v>6664391</v>
      </c>
      <c r="B714" s="35">
        <v>3045</v>
      </c>
      <c r="C714" s="35" t="s">
        <v>153</v>
      </c>
      <c r="D714" s="35">
        <v>5</v>
      </c>
      <c r="E714" s="35">
        <v>4</v>
      </c>
      <c r="F714" s="36">
        <v>43320</v>
      </c>
      <c r="G714" s="9">
        <f>VLOOKUP(A714,Sheet9!$A:$F,2,FALSE)</f>
        <v>23500000</v>
      </c>
      <c r="H714" s="9" t="str">
        <f>VLOOKUP(A714,Sheet9!$A:$F,3,FALSE )</f>
        <v>Bahria Town Rawalpindi</v>
      </c>
      <c r="I714" s="9" t="str">
        <f>VLOOKUP(A714,Sheet9!$A:$F,4,FALSE)</f>
        <v>Rawalpindi</v>
      </c>
      <c r="J714" s="9" t="str">
        <f>VLOOKUP(A714,Sheet9!$A:$F,5,FALSE)</f>
        <v>Punjab</v>
      </c>
      <c r="K714" s="9" t="str">
        <f>VLOOKUP(A714,Sheet9!$A:$F,6,FALSE)</f>
        <v>For Sale</v>
      </c>
      <c r="L714" s="9">
        <f t="shared" si="11"/>
        <v>2</v>
      </c>
    </row>
    <row r="715" spans="1:12" ht="15" thickBot="1">
      <c r="A715" s="31">
        <v>6664577</v>
      </c>
      <c r="B715" s="35">
        <v>1447</v>
      </c>
      <c r="C715" s="35" t="s">
        <v>153</v>
      </c>
      <c r="D715" s="35">
        <v>6</v>
      </c>
      <c r="E715" s="35">
        <v>5</v>
      </c>
      <c r="F715" s="36">
        <v>43499</v>
      </c>
      <c r="G715" s="9">
        <f>VLOOKUP(A715,Sheet9!$A:$F,2,FALSE)</f>
        <v>42500000</v>
      </c>
      <c r="H715" s="9" t="str">
        <f>VLOOKUP(A715,Sheet9!$A:$F,3,FALSE )</f>
        <v>DHA Defence</v>
      </c>
      <c r="I715" s="9" t="str">
        <f>VLOOKUP(A715,Sheet9!$A:$F,4,FALSE)</f>
        <v>Lahore</v>
      </c>
      <c r="J715" s="9" t="str">
        <f>VLOOKUP(A715,Sheet9!$A:$F,5,FALSE)</f>
        <v>Punjab</v>
      </c>
      <c r="K715" s="9" t="str">
        <f>VLOOKUP(A715,Sheet9!$A:$F,6,FALSE)</f>
        <v>For Sale</v>
      </c>
      <c r="L715" s="9">
        <f t="shared" si="11"/>
        <v>2</v>
      </c>
    </row>
    <row r="716" spans="1:12" ht="15" thickBot="1">
      <c r="A716" s="31">
        <v>6667833</v>
      </c>
      <c r="B716" s="35">
        <v>1447</v>
      </c>
      <c r="C716" s="35" t="s">
        <v>153</v>
      </c>
      <c r="D716" s="35">
        <v>6</v>
      </c>
      <c r="E716" s="35">
        <v>5</v>
      </c>
      <c r="F716" s="36">
        <v>43648</v>
      </c>
      <c r="G716" s="9">
        <f>VLOOKUP(A716,Sheet9!$A:$F,2,FALSE)</f>
        <v>39900000</v>
      </c>
      <c r="H716" s="9" t="str">
        <f>VLOOKUP(A716,Sheet9!$A:$F,3,FALSE )</f>
        <v>DHA Defence</v>
      </c>
      <c r="I716" s="9" t="str">
        <f>VLOOKUP(A716,Sheet9!$A:$F,4,FALSE)</f>
        <v>Lahore</v>
      </c>
      <c r="J716" s="9" t="str">
        <f>VLOOKUP(A716,Sheet9!$A:$F,5,FALSE)</f>
        <v>Punjab</v>
      </c>
      <c r="K716" s="9" t="str">
        <f>VLOOKUP(A716,Sheet9!$A:$F,6,FALSE)</f>
        <v>For Sale</v>
      </c>
      <c r="L716" s="9">
        <f t="shared" si="11"/>
        <v>2</v>
      </c>
    </row>
    <row r="717" spans="1:12" ht="15" thickBot="1">
      <c r="A717" s="31">
        <v>6670283</v>
      </c>
      <c r="B717" s="35">
        <v>1772</v>
      </c>
      <c r="C717" s="35" t="s">
        <v>153</v>
      </c>
      <c r="D717" s="35">
        <v>6</v>
      </c>
      <c r="E717" s="35">
        <v>5</v>
      </c>
      <c r="F717" s="36">
        <v>43635</v>
      </c>
      <c r="G717" s="9">
        <f>VLOOKUP(A717,Sheet9!$A:$F,2,FALSE)</f>
        <v>16900000</v>
      </c>
      <c r="H717" s="9" t="str">
        <f>VLOOKUP(A717,Sheet9!$A:$F,3,FALSE )</f>
        <v>Bahria Town</v>
      </c>
      <c r="I717" s="9" t="str">
        <f>VLOOKUP(A717,Sheet9!$A:$F,4,FALSE)</f>
        <v>Lahore</v>
      </c>
      <c r="J717" s="9" t="str">
        <f>VLOOKUP(A717,Sheet9!$A:$F,5,FALSE)</f>
        <v>Punjab</v>
      </c>
      <c r="K717" s="9" t="str">
        <f>VLOOKUP(A717,Sheet9!$A:$F,6,FALSE)</f>
        <v>For Sale</v>
      </c>
      <c r="L717" s="9">
        <f t="shared" si="11"/>
        <v>2</v>
      </c>
    </row>
    <row r="718" spans="1:12" ht="15" thickBot="1">
      <c r="A718" s="31">
        <v>6697321</v>
      </c>
      <c r="B718" s="35">
        <v>8133</v>
      </c>
      <c r="C718" s="35" t="s">
        <v>153</v>
      </c>
      <c r="D718" s="35">
        <v>2</v>
      </c>
      <c r="E718" s="35">
        <v>4</v>
      </c>
      <c r="F718" s="36">
        <v>43651</v>
      </c>
      <c r="G718" s="9">
        <f>VLOOKUP(A718,Sheet9!$A:$F,2,FALSE)</f>
        <v>7400000</v>
      </c>
      <c r="H718" s="9" t="str">
        <f>VLOOKUP(A718,Sheet9!$A:$F,3,FALSE )</f>
        <v>Sadiqabad</v>
      </c>
      <c r="I718" s="9" t="str">
        <f>VLOOKUP(A718,Sheet9!$A:$F,4,FALSE)</f>
        <v>Rawalpindi</v>
      </c>
      <c r="J718" s="9" t="str">
        <f>VLOOKUP(A718,Sheet9!$A:$F,5,FALSE)</f>
        <v>Punjab</v>
      </c>
      <c r="K718" s="9" t="str">
        <f>VLOOKUP(A718,Sheet9!$A:$F,6,FALSE)</f>
        <v>For Sale</v>
      </c>
      <c r="L718" s="9">
        <f t="shared" si="11"/>
        <v>2</v>
      </c>
    </row>
    <row r="719" spans="1:12" ht="15" thickBot="1">
      <c r="A719" s="31">
        <v>6697542</v>
      </c>
      <c r="B719" s="35">
        <v>79</v>
      </c>
      <c r="C719" s="35" t="s">
        <v>154</v>
      </c>
      <c r="D719" s="35">
        <v>3</v>
      </c>
      <c r="E719" s="35">
        <v>3</v>
      </c>
      <c r="F719" s="36">
        <v>43529</v>
      </c>
      <c r="G719" s="9">
        <f>VLOOKUP(A719,Sheet9!$A:$F,2,FALSE)</f>
        <v>6000000</v>
      </c>
      <c r="H719" s="9" t="str">
        <f>VLOOKUP(A719,Sheet9!$A:$F,3,FALSE )</f>
        <v>Faisal Town</v>
      </c>
      <c r="I719" s="9" t="str">
        <f>VLOOKUP(A719,Sheet9!$A:$F,4,FALSE)</f>
        <v>Lahore</v>
      </c>
      <c r="J719" s="9" t="str">
        <f>VLOOKUP(A719,Sheet9!$A:$F,5,FALSE)</f>
        <v>Punjab</v>
      </c>
      <c r="K719" s="9" t="str">
        <f>VLOOKUP(A719,Sheet9!$A:$F,6,FALSE)</f>
        <v>For Sale</v>
      </c>
      <c r="L719" s="9">
        <f t="shared" si="11"/>
        <v>2</v>
      </c>
    </row>
    <row r="720" spans="1:12" ht="15" thickBot="1">
      <c r="A720" s="31">
        <v>6697817</v>
      </c>
      <c r="B720" s="35">
        <v>3732</v>
      </c>
      <c r="C720" s="35" t="s">
        <v>153</v>
      </c>
      <c r="D720" s="35">
        <v>2</v>
      </c>
      <c r="E720" s="35">
        <v>3</v>
      </c>
      <c r="F720" s="36">
        <v>43558</v>
      </c>
      <c r="G720" s="9">
        <f>VLOOKUP(A720,Sheet9!$A:$F,2,FALSE)</f>
        <v>7200000</v>
      </c>
      <c r="H720" s="9" t="str">
        <f>VLOOKUP(A720,Sheet9!$A:$F,3,FALSE )</f>
        <v>Eden</v>
      </c>
      <c r="I720" s="9" t="str">
        <f>VLOOKUP(A720,Sheet9!$A:$F,4,FALSE)</f>
        <v>Lahore</v>
      </c>
      <c r="J720" s="9" t="str">
        <f>VLOOKUP(A720,Sheet9!$A:$F,5,FALSE)</f>
        <v>Punjab</v>
      </c>
      <c r="K720" s="9" t="str">
        <f>VLOOKUP(A720,Sheet9!$A:$F,6,FALSE)</f>
        <v>For Sale</v>
      </c>
      <c r="L720" s="9">
        <f t="shared" si="11"/>
        <v>2</v>
      </c>
    </row>
    <row r="721" spans="1:12" ht="15" thickBot="1">
      <c r="A721" s="31">
        <v>6711792</v>
      </c>
      <c r="B721" s="35">
        <v>8856</v>
      </c>
      <c r="C721" s="35" t="s">
        <v>154</v>
      </c>
      <c r="D721" s="35">
        <v>2</v>
      </c>
      <c r="E721" s="35">
        <v>2</v>
      </c>
      <c r="F721" s="36">
        <v>43664</v>
      </c>
      <c r="G721" s="9">
        <f>VLOOKUP(A721,Sheet9!$A:$F,2,FALSE)</f>
        <v>3650000</v>
      </c>
      <c r="H721" s="9" t="str">
        <f>VLOOKUP(A721,Sheet9!$A:$F,3,FALSE )</f>
        <v>Gadap Town</v>
      </c>
      <c r="I721" s="9" t="str">
        <f>VLOOKUP(A721,Sheet9!$A:$F,4,FALSE)</f>
        <v>Karachi</v>
      </c>
      <c r="J721" s="9" t="str">
        <f>VLOOKUP(A721,Sheet9!$A:$F,5,FALSE)</f>
        <v>Sindh</v>
      </c>
      <c r="K721" s="9" t="str">
        <f>VLOOKUP(A721,Sheet9!$A:$F,6,FALSE)</f>
        <v>For Sale</v>
      </c>
      <c r="L721" s="9">
        <f t="shared" si="11"/>
        <v>1</v>
      </c>
    </row>
    <row r="722" spans="1:12" ht="15" thickBot="1">
      <c r="A722" s="31">
        <v>6712264</v>
      </c>
      <c r="B722" s="35">
        <v>7182</v>
      </c>
      <c r="C722" s="35" t="s">
        <v>153</v>
      </c>
      <c r="D722" s="35">
        <v>5</v>
      </c>
      <c r="E722" s="35">
        <v>5</v>
      </c>
      <c r="F722" s="36">
        <v>43664</v>
      </c>
      <c r="G722" s="9">
        <f>VLOOKUP(A722,Sheet9!$A:$F,2,FALSE)</f>
        <v>16000000</v>
      </c>
      <c r="H722" s="9" t="str">
        <f>VLOOKUP(A722,Sheet9!$A:$F,3,FALSE )</f>
        <v>North Karachi</v>
      </c>
      <c r="I722" s="9" t="str">
        <f>VLOOKUP(A722,Sheet9!$A:$F,4,FALSE)</f>
        <v>Karachi</v>
      </c>
      <c r="J722" s="9" t="str">
        <f>VLOOKUP(A722,Sheet9!$A:$F,5,FALSE)</f>
        <v>Sindh</v>
      </c>
      <c r="K722" s="9" t="str">
        <f>VLOOKUP(A722,Sheet9!$A:$F,6,FALSE)</f>
        <v>For Sale</v>
      </c>
      <c r="L722" s="9">
        <f t="shared" si="11"/>
        <v>1</v>
      </c>
    </row>
    <row r="723" spans="1:12" ht="15" thickBot="1">
      <c r="A723" s="31">
        <v>6723402</v>
      </c>
      <c r="B723" s="35">
        <v>3559</v>
      </c>
      <c r="C723" s="35" t="s">
        <v>154</v>
      </c>
      <c r="D723" s="35">
        <v>3</v>
      </c>
      <c r="E723" s="35">
        <v>3</v>
      </c>
      <c r="F723" s="36">
        <v>43618</v>
      </c>
      <c r="G723" s="9">
        <f>VLOOKUP(A723,Sheet9!$A:$F,2,FALSE)</f>
        <v>14500000</v>
      </c>
      <c r="H723" s="9" t="str">
        <f>VLOOKUP(A723,Sheet9!$A:$F,3,FALSE )</f>
        <v>Askari</v>
      </c>
      <c r="I723" s="9" t="str">
        <f>VLOOKUP(A723,Sheet9!$A:$F,4,FALSE)</f>
        <v>Lahore</v>
      </c>
      <c r="J723" s="9" t="str">
        <f>VLOOKUP(A723,Sheet9!$A:$F,5,FALSE)</f>
        <v>Punjab</v>
      </c>
      <c r="K723" s="9" t="str">
        <f>VLOOKUP(A723,Sheet9!$A:$F,6,FALSE)</f>
        <v>For Sale</v>
      </c>
      <c r="L723" s="9">
        <f t="shared" si="11"/>
        <v>2</v>
      </c>
    </row>
    <row r="724" spans="1:12" ht="15" thickBot="1">
      <c r="A724" s="31">
        <v>6734408</v>
      </c>
      <c r="B724" s="35">
        <v>8484</v>
      </c>
      <c r="C724" s="35" t="s">
        <v>154</v>
      </c>
      <c r="D724" s="35">
        <v>0</v>
      </c>
      <c r="E724" s="35">
        <v>3</v>
      </c>
      <c r="F724" s="36">
        <v>43630</v>
      </c>
      <c r="G724" s="9">
        <f>VLOOKUP(A724,Sheet9!$A:$F,2,FALSE)</f>
        <v>11000000</v>
      </c>
      <c r="H724" s="9" t="str">
        <f>VLOOKUP(A724,Sheet9!$A:$F,3,FALSE )</f>
        <v>DHA Defence</v>
      </c>
      <c r="I724" s="9" t="str">
        <f>VLOOKUP(A724,Sheet9!$A:$F,4,FALSE)</f>
        <v>Karachi</v>
      </c>
      <c r="J724" s="9" t="str">
        <f>VLOOKUP(A724,Sheet9!$A:$F,5,FALSE)</f>
        <v>Sindh</v>
      </c>
      <c r="K724" s="9" t="str">
        <f>VLOOKUP(A724,Sheet9!$A:$F,6,FALSE)</f>
        <v>For Sale</v>
      </c>
      <c r="L724" s="9">
        <f t="shared" si="11"/>
        <v>1</v>
      </c>
    </row>
    <row r="725" spans="1:12" ht="15" thickBot="1">
      <c r="A725" s="31">
        <v>6746418</v>
      </c>
      <c r="B725" s="35">
        <v>1798</v>
      </c>
      <c r="C725" s="35" t="s">
        <v>153</v>
      </c>
      <c r="D725" s="35">
        <v>4</v>
      </c>
      <c r="E725" s="35">
        <v>3</v>
      </c>
      <c r="F725" s="36">
        <v>43634</v>
      </c>
      <c r="G725" s="9">
        <f>VLOOKUP(A725,Sheet9!$A:$F,2,FALSE)</f>
        <v>11500000</v>
      </c>
      <c r="H725" s="9" t="str">
        <f>VLOOKUP(A725,Sheet9!$A:$F,3,FALSE )</f>
        <v>Bahria Town</v>
      </c>
      <c r="I725" s="9" t="str">
        <f>VLOOKUP(A725,Sheet9!$A:$F,4,FALSE)</f>
        <v>Lahore</v>
      </c>
      <c r="J725" s="9" t="str">
        <f>VLOOKUP(A725,Sheet9!$A:$F,5,FALSE)</f>
        <v>Punjab</v>
      </c>
      <c r="K725" s="9" t="str">
        <f>VLOOKUP(A725,Sheet9!$A:$F,6,FALSE)</f>
        <v>For Sale</v>
      </c>
      <c r="L725" s="9">
        <f t="shared" si="11"/>
        <v>2</v>
      </c>
    </row>
    <row r="726" spans="1:12" ht="29.5" thickBot="1">
      <c r="A726" s="31">
        <v>6747080</v>
      </c>
      <c r="B726" s="35">
        <v>1483</v>
      </c>
      <c r="C726" s="35" t="s">
        <v>156</v>
      </c>
      <c r="D726" s="35">
        <v>0</v>
      </c>
      <c r="E726" s="35">
        <v>3</v>
      </c>
      <c r="F726" s="36">
        <v>43634</v>
      </c>
      <c r="G726" s="9">
        <f>VLOOKUP(A726,Sheet9!$A:$F,2,FALSE)</f>
        <v>100000</v>
      </c>
      <c r="H726" s="9" t="str">
        <f>VLOOKUP(A726,Sheet9!$A:$F,3,FALSE )</f>
        <v>DHA Defence</v>
      </c>
      <c r="I726" s="9" t="str">
        <f>VLOOKUP(A726,Sheet9!$A:$F,4,FALSE)</f>
        <v>Karachi</v>
      </c>
      <c r="J726" s="9" t="str">
        <f>VLOOKUP(A726,Sheet9!$A:$F,5,FALSE)</f>
        <v>Sindh</v>
      </c>
      <c r="K726" s="9" t="str">
        <f>VLOOKUP(A726,Sheet9!$A:$F,6,FALSE)</f>
        <v>For Rent</v>
      </c>
      <c r="L726" s="9">
        <f t="shared" si="11"/>
        <v>1</v>
      </c>
    </row>
    <row r="727" spans="1:12" ht="15" thickBot="1">
      <c r="A727" s="31">
        <v>6762145</v>
      </c>
      <c r="B727" s="35">
        <v>6858</v>
      </c>
      <c r="C727" s="35" t="s">
        <v>154</v>
      </c>
      <c r="D727" s="35">
        <v>2</v>
      </c>
      <c r="E727" s="35">
        <v>2</v>
      </c>
      <c r="F727" s="36">
        <v>43664</v>
      </c>
      <c r="G727" s="9">
        <f>VLOOKUP(A727,Sheet9!$A:$F,2,FALSE)</f>
        <v>4050000</v>
      </c>
      <c r="H727" s="9" t="str">
        <f>VLOOKUP(A727,Sheet9!$A:$F,3,FALSE )</f>
        <v>Gulshan-e-Iqbal Town</v>
      </c>
      <c r="I727" s="9" t="str">
        <f>VLOOKUP(A727,Sheet9!$A:$F,4,FALSE)</f>
        <v>Karachi</v>
      </c>
      <c r="J727" s="9" t="str">
        <f>VLOOKUP(A727,Sheet9!$A:$F,5,FALSE)</f>
        <v>Sindh</v>
      </c>
      <c r="K727" s="9" t="str">
        <f>VLOOKUP(A727,Sheet9!$A:$F,6,FALSE)</f>
        <v>For Sale</v>
      </c>
      <c r="L727" s="9">
        <f t="shared" si="11"/>
        <v>1</v>
      </c>
    </row>
    <row r="728" spans="1:12" ht="15" thickBot="1">
      <c r="A728" s="31">
        <v>6763837</v>
      </c>
      <c r="B728" s="35">
        <v>10061</v>
      </c>
      <c r="C728" s="35" t="s">
        <v>153</v>
      </c>
      <c r="D728" s="35">
        <v>4</v>
      </c>
      <c r="E728" s="35">
        <v>4</v>
      </c>
      <c r="F728" s="36">
        <v>43643</v>
      </c>
      <c r="G728" s="9">
        <f>VLOOKUP(A728,Sheet9!$A:$F,2,FALSE)</f>
        <v>14500000</v>
      </c>
      <c r="H728" s="9" t="str">
        <f>VLOOKUP(A728,Sheet9!$A:$F,3,FALSE )</f>
        <v>Bahria Town Karachi</v>
      </c>
      <c r="I728" s="9" t="str">
        <f>VLOOKUP(A728,Sheet9!$A:$F,4,FALSE)</f>
        <v>Karachi</v>
      </c>
      <c r="J728" s="9" t="str">
        <f>VLOOKUP(A728,Sheet9!$A:$F,5,FALSE)</f>
        <v>Sindh</v>
      </c>
      <c r="K728" s="9" t="str">
        <f>VLOOKUP(A728,Sheet9!$A:$F,6,FALSE)</f>
        <v>For Sale</v>
      </c>
      <c r="L728" s="9">
        <f t="shared" si="11"/>
        <v>1</v>
      </c>
    </row>
    <row r="729" spans="1:12" ht="15" thickBot="1">
      <c r="A729" s="31">
        <v>6772376</v>
      </c>
      <c r="B729" s="35">
        <v>339</v>
      </c>
      <c r="C729" s="35" t="s">
        <v>153</v>
      </c>
      <c r="D729" s="35">
        <v>0</v>
      </c>
      <c r="E729" s="35">
        <v>4</v>
      </c>
      <c r="F729" s="36">
        <v>43628</v>
      </c>
      <c r="G729" s="9">
        <f>VLOOKUP(A729,Sheet9!$A:$F,2,FALSE)</f>
        <v>26000000</v>
      </c>
      <c r="H729" s="9" t="str">
        <f>VLOOKUP(A729,Sheet9!$A:$F,3,FALSE )</f>
        <v>DHA Defence</v>
      </c>
      <c r="I729" s="9" t="str">
        <f>VLOOKUP(A729,Sheet9!$A:$F,4,FALSE)</f>
        <v>Islamabad</v>
      </c>
      <c r="J729" s="9" t="str">
        <f>VLOOKUP(A729,Sheet9!$A:$F,5,FALSE)</f>
        <v>Islamabad Capital</v>
      </c>
      <c r="K729" s="9" t="str">
        <f>VLOOKUP(A729,Sheet9!$A:$F,6,FALSE)</f>
        <v>For Sale</v>
      </c>
      <c r="L729" s="9">
        <f t="shared" si="11"/>
        <v>3</v>
      </c>
    </row>
  </sheetData>
  <pageMargins left="0.7" right="0.7" top="0.75" bottom="0.75" header="0.3" footer="0.3"/>
  <pageSetup scale="4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61"/>
  <sheetViews>
    <sheetView tabSelected="1" workbookViewId="0">
      <selection activeCell="H12" sqref="H12"/>
    </sheetView>
  </sheetViews>
  <sheetFormatPr defaultRowHeight="14.5"/>
  <cols>
    <col min="2" max="2" width="17.6328125" customWidth="1"/>
    <col min="3" max="3" width="22.26953125" customWidth="1"/>
    <col min="4" max="4" width="19.6328125" customWidth="1"/>
    <col min="5" max="5" width="21.1796875" customWidth="1"/>
    <col min="6" max="6" width="13.54296875" customWidth="1"/>
  </cols>
  <sheetData>
    <row r="1" spans="1:6" ht="15" thickBot="1">
      <c r="A1" s="31">
        <v>86575</v>
      </c>
      <c r="B1" s="32">
        <v>450000000</v>
      </c>
      <c r="C1" s="33" t="s">
        <v>160</v>
      </c>
      <c r="D1" s="33" t="s">
        <v>161</v>
      </c>
      <c r="E1" s="33" t="s">
        <v>162</v>
      </c>
      <c r="F1" s="33" t="s">
        <v>163</v>
      </c>
    </row>
    <row r="2" spans="1:6" ht="15" thickBot="1">
      <c r="A2" s="31">
        <v>128983</v>
      </c>
      <c r="B2" s="32">
        <v>200000</v>
      </c>
      <c r="C2" s="33" t="s">
        <v>164</v>
      </c>
      <c r="D2" s="33" t="s">
        <v>165</v>
      </c>
      <c r="E2" s="33" t="s">
        <v>166</v>
      </c>
      <c r="F2" s="33" t="s">
        <v>167</v>
      </c>
    </row>
    <row r="3" spans="1:6" ht="15" thickBot="1">
      <c r="A3" s="31">
        <v>237062</v>
      </c>
      <c r="B3" s="32">
        <v>10000000</v>
      </c>
      <c r="C3" s="33" t="s">
        <v>168</v>
      </c>
      <c r="D3" s="33" t="s">
        <v>169</v>
      </c>
      <c r="E3" s="34" t="s">
        <v>170</v>
      </c>
      <c r="F3" s="33" t="s">
        <v>163</v>
      </c>
    </row>
    <row r="4" spans="1:6" ht="15" thickBot="1">
      <c r="A4" s="31">
        <v>342005</v>
      </c>
      <c r="B4" s="32">
        <v>35000000</v>
      </c>
      <c r="C4" s="33" t="s">
        <v>171</v>
      </c>
      <c r="D4" s="33" t="s">
        <v>161</v>
      </c>
      <c r="E4" s="33" t="s">
        <v>162</v>
      </c>
      <c r="F4" s="33" t="s">
        <v>163</v>
      </c>
    </row>
    <row r="5" spans="1:6" ht="15" thickBot="1">
      <c r="A5" s="31">
        <v>346905</v>
      </c>
      <c r="B5" s="32">
        <v>6900000</v>
      </c>
      <c r="C5" s="33" t="s">
        <v>172</v>
      </c>
      <c r="D5" s="33" t="s">
        <v>169</v>
      </c>
      <c r="E5" s="34" t="s">
        <v>170</v>
      </c>
      <c r="F5" s="33" t="s">
        <v>163</v>
      </c>
    </row>
    <row r="6" spans="1:6" ht="15" thickBot="1">
      <c r="A6" s="31">
        <v>347795</v>
      </c>
      <c r="B6" s="32">
        <v>220000000</v>
      </c>
      <c r="C6" s="33" t="s">
        <v>173</v>
      </c>
      <c r="D6" s="33" t="s">
        <v>174</v>
      </c>
      <c r="E6" s="33" t="s">
        <v>166</v>
      </c>
      <c r="F6" s="33" t="s">
        <v>163</v>
      </c>
    </row>
    <row r="7" spans="1:6" ht="15" thickBot="1">
      <c r="A7" s="31">
        <v>386513</v>
      </c>
      <c r="B7" s="32">
        <v>16500000</v>
      </c>
      <c r="C7" s="33" t="s">
        <v>175</v>
      </c>
      <c r="D7" s="33" t="s">
        <v>169</v>
      </c>
      <c r="E7" s="34" t="s">
        <v>170</v>
      </c>
      <c r="F7" s="33" t="s">
        <v>163</v>
      </c>
    </row>
    <row r="8" spans="1:6" ht="15" thickBot="1">
      <c r="A8" s="31">
        <v>425947</v>
      </c>
      <c r="B8" s="32">
        <v>13500000</v>
      </c>
      <c r="C8" s="33" t="s">
        <v>176</v>
      </c>
      <c r="D8" s="33" t="s">
        <v>165</v>
      </c>
      <c r="E8" s="33" t="s">
        <v>166</v>
      </c>
      <c r="F8" s="33" t="s">
        <v>163</v>
      </c>
    </row>
    <row r="9" spans="1:6" ht="15" thickBot="1">
      <c r="A9" s="31">
        <v>466607</v>
      </c>
      <c r="B9" s="32">
        <v>21000000</v>
      </c>
      <c r="C9" s="33" t="s">
        <v>177</v>
      </c>
      <c r="D9" s="33" t="s">
        <v>161</v>
      </c>
      <c r="E9" s="33" t="s">
        <v>162</v>
      </c>
      <c r="F9" s="33" t="s">
        <v>163</v>
      </c>
    </row>
    <row r="10" spans="1:6" ht="15" thickBot="1">
      <c r="A10" s="31">
        <v>482892</v>
      </c>
      <c r="B10" s="32">
        <v>40000000</v>
      </c>
      <c r="C10" s="33" t="s">
        <v>178</v>
      </c>
      <c r="D10" s="33" t="s">
        <v>174</v>
      </c>
      <c r="E10" s="33" t="s">
        <v>166</v>
      </c>
      <c r="F10" s="33" t="s">
        <v>163</v>
      </c>
    </row>
    <row r="11" spans="1:6" ht="15" thickBot="1">
      <c r="A11" s="31">
        <v>487921</v>
      </c>
      <c r="B11" s="32">
        <v>31500000</v>
      </c>
      <c r="C11" s="33" t="s">
        <v>179</v>
      </c>
      <c r="D11" s="33" t="s">
        <v>165</v>
      </c>
      <c r="E11" s="33" t="s">
        <v>166</v>
      </c>
      <c r="F11" s="33" t="s">
        <v>163</v>
      </c>
    </row>
    <row r="12" spans="1:6" ht="15" thickBot="1">
      <c r="A12" s="31">
        <v>488267</v>
      </c>
      <c r="B12" s="32">
        <v>23000000</v>
      </c>
      <c r="C12" s="33" t="s">
        <v>180</v>
      </c>
      <c r="D12" s="33" t="s">
        <v>165</v>
      </c>
      <c r="E12" s="33" t="s">
        <v>166</v>
      </c>
      <c r="F12" s="33" t="s">
        <v>163</v>
      </c>
    </row>
    <row r="13" spans="1:6" ht="15" thickBot="1">
      <c r="A13" s="31">
        <v>523420</v>
      </c>
      <c r="B13" s="32">
        <v>200000</v>
      </c>
      <c r="C13" s="33" t="s">
        <v>177</v>
      </c>
      <c r="D13" s="33" t="s">
        <v>161</v>
      </c>
      <c r="E13" s="33" t="s">
        <v>162</v>
      </c>
      <c r="F13" s="33" t="s">
        <v>167</v>
      </c>
    </row>
    <row r="14" spans="1:6" ht="15" thickBot="1">
      <c r="A14" s="31">
        <v>530579</v>
      </c>
      <c r="B14" s="32">
        <v>230000</v>
      </c>
      <c r="C14" s="33" t="s">
        <v>177</v>
      </c>
      <c r="D14" s="33" t="s">
        <v>161</v>
      </c>
      <c r="E14" s="33" t="s">
        <v>162</v>
      </c>
      <c r="F14" s="33" t="s">
        <v>167</v>
      </c>
    </row>
    <row r="15" spans="1:6" ht="15" thickBot="1">
      <c r="A15" s="31">
        <v>555962</v>
      </c>
      <c r="B15" s="32">
        <v>9500000</v>
      </c>
      <c r="C15" s="33" t="s">
        <v>181</v>
      </c>
      <c r="D15" s="33" t="s">
        <v>174</v>
      </c>
      <c r="E15" s="33" t="s">
        <v>166</v>
      </c>
      <c r="F15" s="33" t="s">
        <v>163</v>
      </c>
    </row>
    <row r="16" spans="1:6" ht="15" thickBot="1">
      <c r="A16" s="31">
        <v>557299</v>
      </c>
      <c r="B16" s="32">
        <v>120000</v>
      </c>
      <c r="C16" s="33" t="s">
        <v>160</v>
      </c>
      <c r="D16" s="33" t="s">
        <v>161</v>
      </c>
      <c r="E16" s="33" t="s">
        <v>162</v>
      </c>
      <c r="F16" s="33" t="s">
        <v>167</v>
      </c>
    </row>
    <row r="17" spans="1:6" ht="15" thickBot="1">
      <c r="A17" s="31">
        <v>562843</v>
      </c>
      <c r="B17" s="32">
        <v>125000000</v>
      </c>
      <c r="C17" s="33" t="s">
        <v>182</v>
      </c>
      <c r="D17" s="33" t="s">
        <v>174</v>
      </c>
      <c r="E17" s="33" t="s">
        <v>166</v>
      </c>
      <c r="F17" s="33" t="s">
        <v>163</v>
      </c>
    </row>
    <row r="18" spans="1:6" ht="15" thickBot="1">
      <c r="A18" s="31">
        <v>656161</v>
      </c>
      <c r="B18" s="32">
        <v>43500000</v>
      </c>
      <c r="C18" s="33" t="s">
        <v>183</v>
      </c>
      <c r="D18" s="33" t="s">
        <v>169</v>
      </c>
      <c r="E18" s="34" t="s">
        <v>170</v>
      </c>
      <c r="F18" s="33" t="s">
        <v>163</v>
      </c>
    </row>
    <row r="19" spans="1:6" ht="15" thickBot="1">
      <c r="A19" s="31">
        <v>678919</v>
      </c>
      <c r="B19" s="32">
        <v>6500000</v>
      </c>
      <c r="C19" s="33" t="s">
        <v>184</v>
      </c>
      <c r="D19" s="33" t="s">
        <v>161</v>
      </c>
      <c r="E19" s="33" t="s">
        <v>162</v>
      </c>
      <c r="F19" s="33" t="s">
        <v>163</v>
      </c>
    </row>
    <row r="20" spans="1:6" ht="15" thickBot="1">
      <c r="A20" s="31">
        <v>686990</v>
      </c>
      <c r="B20" s="32">
        <v>21000000</v>
      </c>
      <c r="C20" s="33" t="s">
        <v>185</v>
      </c>
      <c r="D20" s="33" t="s">
        <v>174</v>
      </c>
      <c r="E20" s="33" t="s">
        <v>166</v>
      </c>
      <c r="F20" s="33" t="s">
        <v>163</v>
      </c>
    </row>
    <row r="21" spans="1:6" ht="15" thickBot="1">
      <c r="A21" s="31">
        <v>785289</v>
      </c>
      <c r="B21" s="32">
        <v>52000000</v>
      </c>
      <c r="C21" s="33" t="s">
        <v>182</v>
      </c>
      <c r="D21" s="33" t="s">
        <v>174</v>
      </c>
      <c r="E21" s="33" t="s">
        <v>166</v>
      </c>
      <c r="F21" s="33" t="s">
        <v>163</v>
      </c>
    </row>
    <row r="22" spans="1:6" ht="15" thickBot="1">
      <c r="A22" s="31">
        <v>798929</v>
      </c>
      <c r="B22" s="32">
        <v>9990000</v>
      </c>
      <c r="C22" s="33" t="s">
        <v>186</v>
      </c>
      <c r="D22" s="33" t="s">
        <v>165</v>
      </c>
      <c r="E22" s="33" t="s">
        <v>166</v>
      </c>
      <c r="F22" s="33" t="s">
        <v>163</v>
      </c>
    </row>
    <row r="23" spans="1:6" ht="15" thickBot="1">
      <c r="A23" s="31">
        <v>813506</v>
      </c>
      <c r="B23" s="32">
        <v>13000000</v>
      </c>
      <c r="C23" s="33" t="s">
        <v>187</v>
      </c>
      <c r="D23" s="33" t="s">
        <v>161</v>
      </c>
      <c r="E23" s="33" t="s">
        <v>162</v>
      </c>
      <c r="F23" s="33" t="s">
        <v>163</v>
      </c>
    </row>
    <row r="24" spans="1:6" ht="15" thickBot="1">
      <c r="A24" s="31">
        <v>823201</v>
      </c>
      <c r="B24" s="32">
        <v>125000</v>
      </c>
      <c r="C24" s="33" t="s">
        <v>188</v>
      </c>
      <c r="D24" s="33" t="s">
        <v>165</v>
      </c>
      <c r="E24" s="33" t="s">
        <v>166</v>
      </c>
      <c r="F24" s="33" t="s">
        <v>167</v>
      </c>
    </row>
    <row r="25" spans="1:6" ht="15" thickBot="1">
      <c r="A25" s="31">
        <v>841645</v>
      </c>
      <c r="B25" s="32">
        <v>7000000</v>
      </c>
      <c r="C25" s="33" t="s">
        <v>177</v>
      </c>
      <c r="D25" s="33" t="s">
        <v>169</v>
      </c>
      <c r="E25" s="34" t="s">
        <v>170</v>
      </c>
      <c r="F25" s="33" t="s">
        <v>163</v>
      </c>
    </row>
    <row r="26" spans="1:6" ht="15" thickBot="1">
      <c r="A26" s="31">
        <v>843206</v>
      </c>
      <c r="B26" s="32">
        <v>22500000</v>
      </c>
      <c r="C26" s="33" t="s">
        <v>189</v>
      </c>
      <c r="D26" s="33" t="s">
        <v>165</v>
      </c>
      <c r="E26" s="33" t="s">
        <v>166</v>
      </c>
      <c r="F26" s="33" t="s">
        <v>163</v>
      </c>
    </row>
    <row r="27" spans="1:6" ht="15" thickBot="1">
      <c r="A27" s="31">
        <v>850762</v>
      </c>
      <c r="B27" s="32">
        <v>34500000</v>
      </c>
      <c r="C27" s="33" t="s">
        <v>190</v>
      </c>
      <c r="D27" s="33" t="s">
        <v>169</v>
      </c>
      <c r="E27" s="34" t="s">
        <v>170</v>
      </c>
      <c r="F27" s="33" t="s">
        <v>163</v>
      </c>
    </row>
    <row r="28" spans="1:6" ht="15" thickBot="1">
      <c r="A28" s="31">
        <v>858689</v>
      </c>
      <c r="B28" s="32">
        <v>110000</v>
      </c>
      <c r="C28" s="33" t="s">
        <v>177</v>
      </c>
      <c r="D28" s="33" t="s">
        <v>169</v>
      </c>
      <c r="E28" s="34" t="s">
        <v>170</v>
      </c>
      <c r="F28" s="33" t="s">
        <v>167</v>
      </c>
    </row>
    <row r="29" spans="1:6" ht="15" thickBot="1">
      <c r="A29" s="31">
        <v>877435</v>
      </c>
      <c r="B29" s="32">
        <v>600000</v>
      </c>
      <c r="C29" s="33" t="s">
        <v>191</v>
      </c>
      <c r="D29" s="33" t="s">
        <v>169</v>
      </c>
      <c r="E29" s="34" t="s">
        <v>170</v>
      </c>
      <c r="F29" s="33" t="s">
        <v>167</v>
      </c>
    </row>
    <row r="30" spans="1:6" ht="29" thickBot="1">
      <c r="A30" s="31">
        <v>891543</v>
      </c>
      <c r="B30" s="32">
        <v>16500000</v>
      </c>
      <c r="C30" s="33" t="s">
        <v>192</v>
      </c>
      <c r="D30" s="33" t="s">
        <v>174</v>
      </c>
      <c r="E30" s="33" t="s">
        <v>166</v>
      </c>
      <c r="F30" s="33" t="s">
        <v>163</v>
      </c>
    </row>
    <row r="31" spans="1:6" ht="15" thickBot="1">
      <c r="A31" s="31">
        <v>919906</v>
      </c>
      <c r="B31" s="32">
        <v>33000</v>
      </c>
      <c r="C31" s="33" t="s">
        <v>180</v>
      </c>
      <c r="D31" s="33" t="s">
        <v>165</v>
      </c>
      <c r="E31" s="33" t="s">
        <v>166</v>
      </c>
      <c r="F31" s="33" t="s">
        <v>167</v>
      </c>
    </row>
    <row r="32" spans="1:6" ht="15" thickBot="1">
      <c r="A32" s="31">
        <v>934724</v>
      </c>
      <c r="B32" s="32">
        <v>40000000</v>
      </c>
      <c r="C32" s="33" t="s">
        <v>180</v>
      </c>
      <c r="D32" s="33" t="s">
        <v>165</v>
      </c>
      <c r="E32" s="33" t="s">
        <v>166</v>
      </c>
      <c r="F32" s="33" t="s">
        <v>163</v>
      </c>
    </row>
    <row r="33" spans="1:6" ht="15" thickBot="1">
      <c r="A33" s="31">
        <v>937975</v>
      </c>
      <c r="B33" s="32">
        <v>27000000</v>
      </c>
      <c r="C33" s="33" t="s">
        <v>193</v>
      </c>
      <c r="D33" s="33" t="s">
        <v>169</v>
      </c>
      <c r="E33" s="34" t="s">
        <v>170</v>
      </c>
      <c r="F33" s="33" t="s">
        <v>163</v>
      </c>
    </row>
    <row r="34" spans="1:6" ht="15" thickBot="1">
      <c r="A34" s="31">
        <v>940203</v>
      </c>
      <c r="B34" s="32">
        <v>9000000</v>
      </c>
      <c r="C34" s="33" t="s">
        <v>180</v>
      </c>
      <c r="D34" s="33" t="s">
        <v>165</v>
      </c>
      <c r="E34" s="33" t="s">
        <v>166</v>
      </c>
      <c r="F34" s="33" t="s">
        <v>163</v>
      </c>
    </row>
    <row r="35" spans="1:6" ht="15" thickBot="1">
      <c r="A35" s="31">
        <v>981663</v>
      </c>
      <c r="B35" s="32">
        <v>33000</v>
      </c>
      <c r="C35" s="33" t="s">
        <v>175</v>
      </c>
      <c r="D35" s="33" t="s">
        <v>169</v>
      </c>
      <c r="E35" s="34" t="s">
        <v>170</v>
      </c>
      <c r="F35" s="33" t="s">
        <v>167</v>
      </c>
    </row>
    <row r="36" spans="1:6" ht="15" thickBot="1">
      <c r="A36" s="31">
        <v>983065</v>
      </c>
      <c r="B36" s="32">
        <v>32500000</v>
      </c>
      <c r="C36" s="33" t="s">
        <v>194</v>
      </c>
      <c r="D36" s="33" t="s">
        <v>174</v>
      </c>
      <c r="E36" s="33" t="s">
        <v>166</v>
      </c>
      <c r="F36" s="33" t="s">
        <v>163</v>
      </c>
    </row>
    <row r="37" spans="1:6" ht="15" thickBot="1">
      <c r="A37" s="31">
        <v>983066</v>
      </c>
      <c r="B37" s="32">
        <v>31500000</v>
      </c>
      <c r="C37" s="33" t="s">
        <v>194</v>
      </c>
      <c r="D37" s="33" t="s">
        <v>174</v>
      </c>
      <c r="E37" s="33" t="s">
        <v>166</v>
      </c>
      <c r="F37" s="33" t="s">
        <v>163</v>
      </c>
    </row>
    <row r="38" spans="1:6" ht="15" thickBot="1">
      <c r="A38" s="31">
        <v>983075</v>
      </c>
      <c r="B38" s="32">
        <v>40000000</v>
      </c>
      <c r="C38" s="33" t="s">
        <v>195</v>
      </c>
      <c r="D38" s="33" t="s">
        <v>174</v>
      </c>
      <c r="E38" s="33" t="s">
        <v>166</v>
      </c>
      <c r="F38" s="33" t="s">
        <v>163</v>
      </c>
    </row>
    <row r="39" spans="1:6" ht="15" thickBot="1">
      <c r="A39" s="31">
        <v>998953</v>
      </c>
      <c r="B39" s="32">
        <v>12800000</v>
      </c>
      <c r="C39" s="33" t="s">
        <v>188</v>
      </c>
      <c r="D39" s="33" t="s">
        <v>165</v>
      </c>
      <c r="E39" s="33" t="s">
        <v>166</v>
      </c>
      <c r="F39" s="33" t="s">
        <v>163</v>
      </c>
    </row>
    <row r="40" spans="1:6" ht="15" thickBot="1">
      <c r="A40" s="31">
        <v>1010365</v>
      </c>
      <c r="B40" s="32">
        <v>32000000</v>
      </c>
      <c r="C40" s="33" t="s">
        <v>177</v>
      </c>
      <c r="D40" s="33" t="s">
        <v>161</v>
      </c>
      <c r="E40" s="33" t="s">
        <v>162</v>
      </c>
      <c r="F40" s="33" t="s">
        <v>163</v>
      </c>
    </row>
    <row r="41" spans="1:6" ht="15" thickBot="1">
      <c r="A41" s="31">
        <v>1078747</v>
      </c>
      <c r="B41" s="32">
        <v>110000</v>
      </c>
      <c r="C41" s="33" t="s">
        <v>180</v>
      </c>
      <c r="D41" s="33" t="s">
        <v>165</v>
      </c>
      <c r="E41" s="33" t="s">
        <v>166</v>
      </c>
      <c r="F41" s="33" t="s">
        <v>167</v>
      </c>
    </row>
    <row r="42" spans="1:6" ht="15" thickBot="1">
      <c r="A42" s="31">
        <v>1078877</v>
      </c>
      <c r="B42" s="32">
        <v>60000</v>
      </c>
      <c r="C42" s="33" t="s">
        <v>180</v>
      </c>
      <c r="D42" s="33" t="s">
        <v>165</v>
      </c>
      <c r="E42" s="33" t="s">
        <v>166</v>
      </c>
      <c r="F42" s="33" t="s">
        <v>167</v>
      </c>
    </row>
    <row r="43" spans="1:6" ht="15" thickBot="1">
      <c r="A43" s="31">
        <v>1097917</v>
      </c>
      <c r="B43" s="32">
        <v>4000000</v>
      </c>
      <c r="C43" s="33" t="s">
        <v>184</v>
      </c>
      <c r="D43" s="33" t="s">
        <v>161</v>
      </c>
      <c r="E43" s="33" t="s">
        <v>162</v>
      </c>
      <c r="F43" s="33" t="s">
        <v>163</v>
      </c>
    </row>
    <row r="44" spans="1:6" ht="15" thickBot="1">
      <c r="A44" s="31">
        <v>1199301</v>
      </c>
      <c r="B44" s="32">
        <v>50000</v>
      </c>
      <c r="C44" s="33" t="s">
        <v>180</v>
      </c>
      <c r="D44" s="33" t="s">
        <v>165</v>
      </c>
      <c r="E44" s="33" t="s">
        <v>166</v>
      </c>
      <c r="F44" s="33" t="s">
        <v>167</v>
      </c>
    </row>
    <row r="45" spans="1:6" ht="15" thickBot="1">
      <c r="A45" s="31">
        <v>1232114</v>
      </c>
      <c r="B45" s="32">
        <v>37000000</v>
      </c>
      <c r="C45" s="33" t="s">
        <v>180</v>
      </c>
      <c r="D45" s="33" t="s">
        <v>165</v>
      </c>
      <c r="E45" s="33" t="s">
        <v>166</v>
      </c>
      <c r="F45" s="33" t="s">
        <v>163</v>
      </c>
    </row>
    <row r="46" spans="1:6" ht="15" thickBot="1">
      <c r="A46" s="31">
        <v>1236447</v>
      </c>
      <c r="B46" s="32">
        <v>70000</v>
      </c>
      <c r="C46" s="33" t="s">
        <v>180</v>
      </c>
      <c r="D46" s="33" t="s">
        <v>165</v>
      </c>
      <c r="E46" s="33" t="s">
        <v>166</v>
      </c>
      <c r="F46" s="33" t="s">
        <v>167</v>
      </c>
    </row>
    <row r="47" spans="1:6" ht="15" thickBot="1">
      <c r="A47" s="31">
        <v>1253008</v>
      </c>
      <c r="B47" s="32">
        <v>23000000</v>
      </c>
      <c r="C47" s="33" t="s">
        <v>180</v>
      </c>
      <c r="D47" s="33" t="s">
        <v>165</v>
      </c>
      <c r="E47" s="33" t="s">
        <v>166</v>
      </c>
      <c r="F47" s="33" t="s">
        <v>163</v>
      </c>
    </row>
    <row r="48" spans="1:6" ht="15" thickBot="1">
      <c r="A48" s="31">
        <v>1258636</v>
      </c>
      <c r="B48" s="32">
        <v>7800000</v>
      </c>
      <c r="C48" s="33" t="s">
        <v>172</v>
      </c>
      <c r="D48" s="33" t="s">
        <v>169</v>
      </c>
      <c r="E48" s="34" t="s">
        <v>170</v>
      </c>
      <c r="F48" s="33" t="s">
        <v>163</v>
      </c>
    </row>
    <row r="49" spans="1:6" ht="15" thickBot="1">
      <c r="A49" s="31">
        <v>1260475</v>
      </c>
      <c r="B49" s="32">
        <v>16500000</v>
      </c>
      <c r="C49" s="33" t="s">
        <v>196</v>
      </c>
      <c r="D49" s="33" t="s">
        <v>161</v>
      </c>
      <c r="E49" s="33" t="s">
        <v>162</v>
      </c>
      <c r="F49" s="33" t="s">
        <v>163</v>
      </c>
    </row>
    <row r="50" spans="1:6" ht="15" thickBot="1">
      <c r="A50" s="31">
        <v>1273436</v>
      </c>
      <c r="B50" s="32">
        <v>39500000</v>
      </c>
      <c r="C50" s="33" t="s">
        <v>180</v>
      </c>
      <c r="D50" s="33" t="s">
        <v>165</v>
      </c>
      <c r="E50" s="33" t="s">
        <v>166</v>
      </c>
      <c r="F50" s="33" t="s">
        <v>163</v>
      </c>
    </row>
    <row r="51" spans="1:6" ht="15" thickBot="1">
      <c r="A51" s="31">
        <v>1286643</v>
      </c>
      <c r="B51" s="32">
        <v>13500000</v>
      </c>
      <c r="C51" s="33" t="s">
        <v>181</v>
      </c>
      <c r="D51" s="33" t="s">
        <v>174</v>
      </c>
      <c r="E51" s="33" t="s">
        <v>166</v>
      </c>
      <c r="F51" s="33" t="s">
        <v>163</v>
      </c>
    </row>
    <row r="52" spans="1:6" ht="15" thickBot="1">
      <c r="A52" s="31">
        <v>1298962</v>
      </c>
      <c r="B52" s="32">
        <v>21000000</v>
      </c>
      <c r="C52" s="33" t="s">
        <v>180</v>
      </c>
      <c r="D52" s="33" t="s">
        <v>165</v>
      </c>
      <c r="E52" s="33" t="s">
        <v>166</v>
      </c>
      <c r="F52" s="33" t="s">
        <v>163</v>
      </c>
    </row>
    <row r="53" spans="1:6" ht="15" thickBot="1">
      <c r="A53" s="31">
        <v>1304761</v>
      </c>
      <c r="B53" s="32">
        <v>22000</v>
      </c>
      <c r="C53" s="33" t="s">
        <v>180</v>
      </c>
      <c r="D53" s="33" t="s">
        <v>165</v>
      </c>
      <c r="E53" s="33" t="s">
        <v>166</v>
      </c>
      <c r="F53" s="33" t="s">
        <v>167</v>
      </c>
    </row>
    <row r="54" spans="1:6" ht="15" thickBot="1">
      <c r="A54" s="31">
        <v>1402466</v>
      </c>
      <c r="B54" s="32">
        <v>50000000</v>
      </c>
      <c r="C54" s="33" t="s">
        <v>177</v>
      </c>
      <c r="D54" s="33" t="s">
        <v>169</v>
      </c>
      <c r="E54" s="34" t="s">
        <v>170</v>
      </c>
      <c r="F54" s="33" t="s">
        <v>163</v>
      </c>
    </row>
    <row r="55" spans="1:6" ht="15" thickBot="1">
      <c r="A55" s="31">
        <v>1402499</v>
      </c>
      <c r="B55" s="32">
        <v>37000000</v>
      </c>
      <c r="C55" s="33" t="s">
        <v>180</v>
      </c>
      <c r="D55" s="33" t="s">
        <v>165</v>
      </c>
      <c r="E55" s="33" t="s">
        <v>166</v>
      </c>
      <c r="F55" s="33" t="s">
        <v>163</v>
      </c>
    </row>
    <row r="56" spans="1:6" ht="15" thickBot="1">
      <c r="A56" s="31">
        <v>1402784</v>
      </c>
      <c r="B56" s="32">
        <v>87500000</v>
      </c>
      <c r="C56" s="33" t="s">
        <v>197</v>
      </c>
      <c r="D56" s="33" t="s">
        <v>174</v>
      </c>
      <c r="E56" s="33" t="s">
        <v>166</v>
      </c>
      <c r="F56" s="33" t="s">
        <v>163</v>
      </c>
    </row>
    <row r="57" spans="1:6" ht="15" thickBot="1">
      <c r="A57" s="31">
        <v>1415183</v>
      </c>
      <c r="B57" s="32">
        <v>37000000</v>
      </c>
      <c r="C57" s="33" t="s">
        <v>180</v>
      </c>
      <c r="D57" s="33" t="s">
        <v>165</v>
      </c>
      <c r="E57" s="33" t="s">
        <v>166</v>
      </c>
      <c r="F57" s="33" t="s">
        <v>163</v>
      </c>
    </row>
    <row r="58" spans="1:6" ht="15" thickBot="1">
      <c r="A58" s="31">
        <v>1418706</v>
      </c>
      <c r="B58" s="32">
        <v>40000000</v>
      </c>
      <c r="C58" s="33" t="s">
        <v>198</v>
      </c>
      <c r="D58" s="33" t="s">
        <v>169</v>
      </c>
      <c r="E58" s="34" t="s">
        <v>170</v>
      </c>
      <c r="F58" s="33" t="s">
        <v>163</v>
      </c>
    </row>
    <row r="59" spans="1:6" ht="15" thickBot="1">
      <c r="A59" s="31">
        <v>1422699</v>
      </c>
      <c r="B59" s="32">
        <v>8500000</v>
      </c>
      <c r="C59" s="33" t="s">
        <v>199</v>
      </c>
      <c r="D59" s="33" t="s">
        <v>200</v>
      </c>
      <c r="E59" s="33" t="s">
        <v>166</v>
      </c>
      <c r="F59" s="33" t="s">
        <v>163</v>
      </c>
    </row>
    <row r="60" spans="1:6" ht="15" thickBot="1">
      <c r="A60" s="31">
        <v>1423085</v>
      </c>
      <c r="B60" s="32">
        <v>37500000</v>
      </c>
      <c r="C60" s="33" t="s">
        <v>180</v>
      </c>
      <c r="D60" s="33" t="s">
        <v>165</v>
      </c>
      <c r="E60" s="33" t="s">
        <v>166</v>
      </c>
      <c r="F60" s="33" t="s">
        <v>163</v>
      </c>
    </row>
    <row r="61" spans="1:6" ht="15" thickBot="1">
      <c r="A61" s="31">
        <v>1425602</v>
      </c>
      <c r="B61" s="32">
        <v>35000000</v>
      </c>
      <c r="C61" s="33" t="s">
        <v>201</v>
      </c>
      <c r="D61" s="33" t="s">
        <v>169</v>
      </c>
      <c r="E61" s="34" t="s">
        <v>170</v>
      </c>
      <c r="F61" s="33" t="s">
        <v>163</v>
      </c>
    </row>
    <row r="62" spans="1:6" ht="15" thickBot="1">
      <c r="A62" s="31">
        <v>1586658</v>
      </c>
      <c r="B62" s="32">
        <v>48000000</v>
      </c>
      <c r="C62" s="33" t="s">
        <v>201</v>
      </c>
      <c r="D62" s="33" t="s">
        <v>169</v>
      </c>
      <c r="E62" s="34" t="s">
        <v>170</v>
      </c>
      <c r="F62" s="33" t="s">
        <v>163</v>
      </c>
    </row>
    <row r="63" spans="1:6" ht="15" thickBot="1">
      <c r="A63" s="31">
        <v>1594906</v>
      </c>
      <c r="B63" s="32">
        <v>4800000</v>
      </c>
      <c r="C63" s="33" t="s">
        <v>180</v>
      </c>
      <c r="D63" s="33" t="s">
        <v>165</v>
      </c>
      <c r="E63" s="33" t="s">
        <v>166</v>
      </c>
      <c r="F63" s="33" t="s">
        <v>163</v>
      </c>
    </row>
    <row r="64" spans="1:6" ht="15" thickBot="1">
      <c r="A64" s="31">
        <v>1606710</v>
      </c>
      <c r="B64" s="32">
        <v>16500000</v>
      </c>
      <c r="C64" s="33" t="s">
        <v>202</v>
      </c>
      <c r="D64" s="33" t="s">
        <v>174</v>
      </c>
      <c r="E64" s="33" t="s">
        <v>166</v>
      </c>
      <c r="F64" s="33" t="s">
        <v>163</v>
      </c>
    </row>
    <row r="65" spans="1:6" ht="15" thickBot="1">
      <c r="A65" s="31">
        <v>1623818</v>
      </c>
      <c r="B65" s="32">
        <v>400000000</v>
      </c>
      <c r="C65" s="33" t="s">
        <v>203</v>
      </c>
      <c r="D65" s="33" t="s">
        <v>169</v>
      </c>
      <c r="E65" s="34" t="s">
        <v>170</v>
      </c>
      <c r="F65" s="33" t="s">
        <v>163</v>
      </c>
    </row>
    <row r="66" spans="1:6" ht="15" thickBot="1">
      <c r="A66" s="31">
        <v>1631292</v>
      </c>
      <c r="B66" s="32">
        <v>110000000</v>
      </c>
      <c r="C66" s="33" t="s">
        <v>177</v>
      </c>
      <c r="D66" s="33" t="s">
        <v>161</v>
      </c>
      <c r="E66" s="33" t="s">
        <v>162</v>
      </c>
      <c r="F66" s="33" t="s">
        <v>163</v>
      </c>
    </row>
    <row r="67" spans="1:6" ht="15" thickBot="1">
      <c r="A67" s="31">
        <v>1646880</v>
      </c>
      <c r="B67" s="32">
        <v>18500000</v>
      </c>
      <c r="C67" s="33" t="s">
        <v>204</v>
      </c>
      <c r="D67" s="33" t="s">
        <v>174</v>
      </c>
      <c r="E67" s="33" t="s">
        <v>166</v>
      </c>
      <c r="F67" s="33" t="s">
        <v>163</v>
      </c>
    </row>
    <row r="68" spans="1:6" ht="15" thickBot="1">
      <c r="A68" s="31">
        <v>1665024</v>
      </c>
      <c r="B68" s="32">
        <v>13500000</v>
      </c>
      <c r="C68" s="33" t="s">
        <v>177</v>
      </c>
      <c r="D68" s="33" t="s">
        <v>169</v>
      </c>
      <c r="E68" s="34" t="s">
        <v>170</v>
      </c>
      <c r="F68" s="33" t="s">
        <v>163</v>
      </c>
    </row>
    <row r="69" spans="1:6" ht="15" thickBot="1">
      <c r="A69" s="31">
        <v>1711014</v>
      </c>
      <c r="B69" s="32">
        <v>19000</v>
      </c>
      <c r="C69" s="33" t="s">
        <v>205</v>
      </c>
      <c r="D69" s="33" t="s">
        <v>161</v>
      </c>
      <c r="E69" s="33" t="s">
        <v>162</v>
      </c>
      <c r="F69" s="33" t="s">
        <v>167</v>
      </c>
    </row>
    <row r="70" spans="1:6" ht="15" thickBot="1">
      <c r="A70" s="31">
        <v>1731945</v>
      </c>
      <c r="B70" s="32">
        <v>71000</v>
      </c>
      <c r="C70" s="33" t="s">
        <v>180</v>
      </c>
      <c r="D70" s="33" t="s">
        <v>165</v>
      </c>
      <c r="E70" s="33" t="s">
        <v>166</v>
      </c>
      <c r="F70" s="33" t="s">
        <v>167</v>
      </c>
    </row>
    <row r="71" spans="1:6" ht="15" thickBot="1">
      <c r="A71" s="31">
        <v>1794392</v>
      </c>
      <c r="B71" s="32">
        <v>23500000</v>
      </c>
      <c r="C71" s="33" t="s">
        <v>206</v>
      </c>
      <c r="D71" s="33" t="s">
        <v>174</v>
      </c>
      <c r="E71" s="33" t="s">
        <v>166</v>
      </c>
      <c r="F71" s="33" t="s">
        <v>163</v>
      </c>
    </row>
    <row r="72" spans="1:6" ht="15" thickBot="1">
      <c r="A72" s="31">
        <v>1838236</v>
      </c>
      <c r="B72" s="32">
        <v>45000</v>
      </c>
      <c r="C72" s="33" t="s">
        <v>207</v>
      </c>
      <c r="D72" s="33" t="s">
        <v>169</v>
      </c>
      <c r="E72" s="34" t="s">
        <v>170</v>
      </c>
      <c r="F72" s="33" t="s">
        <v>167</v>
      </c>
    </row>
    <row r="73" spans="1:6" ht="15" thickBot="1">
      <c r="A73" s="31">
        <v>1861954</v>
      </c>
      <c r="B73" s="32">
        <v>22500000</v>
      </c>
      <c r="C73" s="33" t="s">
        <v>208</v>
      </c>
      <c r="D73" s="33" t="s">
        <v>174</v>
      </c>
      <c r="E73" s="33" t="s">
        <v>166</v>
      </c>
      <c r="F73" s="33" t="s">
        <v>163</v>
      </c>
    </row>
    <row r="74" spans="1:6" ht="15" thickBot="1">
      <c r="A74" s="31">
        <v>1871116</v>
      </c>
      <c r="B74" s="32">
        <v>50000000</v>
      </c>
      <c r="C74" s="33" t="s">
        <v>209</v>
      </c>
      <c r="D74" s="33" t="s">
        <v>174</v>
      </c>
      <c r="E74" s="33" t="s">
        <v>166</v>
      </c>
      <c r="F74" s="33" t="s">
        <v>163</v>
      </c>
    </row>
    <row r="75" spans="1:6" ht="15" thickBot="1">
      <c r="A75" s="31">
        <v>1871937</v>
      </c>
      <c r="B75" s="32">
        <v>12000</v>
      </c>
      <c r="C75" s="33" t="s">
        <v>210</v>
      </c>
      <c r="D75" s="33" t="s">
        <v>169</v>
      </c>
      <c r="E75" s="34" t="s">
        <v>170</v>
      </c>
      <c r="F75" s="33" t="s">
        <v>167</v>
      </c>
    </row>
    <row r="76" spans="1:6" ht="15" thickBot="1">
      <c r="A76" s="31">
        <v>1879795</v>
      </c>
      <c r="B76" s="32">
        <v>3600000</v>
      </c>
      <c r="C76" s="33" t="s">
        <v>172</v>
      </c>
      <c r="D76" s="33" t="s">
        <v>169</v>
      </c>
      <c r="E76" s="34" t="s">
        <v>170</v>
      </c>
      <c r="F76" s="33" t="s">
        <v>163</v>
      </c>
    </row>
    <row r="77" spans="1:6" ht="15" thickBot="1">
      <c r="A77" s="31">
        <v>1879796</v>
      </c>
      <c r="B77" s="32">
        <v>5000000</v>
      </c>
      <c r="C77" s="33" t="s">
        <v>172</v>
      </c>
      <c r="D77" s="33" t="s">
        <v>169</v>
      </c>
      <c r="E77" s="34" t="s">
        <v>170</v>
      </c>
      <c r="F77" s="33" t="s">
        <v>163</v>
      </c>
    </row>
    <row r="78" spans="1:6" ht="15" thickBot="1">
      <c r="A78" s="31">
        <v>1902788</v>
      </c>
      <c r="B78" s="32">
        <v>12800000</v>
      </c>
      <c r="C78" s="33" t="s">
        <v>211</v>
      </c>
      <c r="D78" s="33" t="s">
        <v>161</v>
      </c>
      <c r="E78" s="33" t="s">
        <v>162</v>
      </c>
      <c r="F78" s="33" t="s">
        <v>163</v>
      </c>
    </row>
    <row r="79" spans="1:6" ht="15" thickBot="1">
      <c r="A79" s="31">
        <v>1923026</v>
      </c>
      <c r="B79" s="32">
        <v>175000</v>
      </c>
      <c r="C79" s="33" t="s">
        <v>191</v>
      </c>
      <c r="D79" s="33" t="s">
        <v>169</v>
      </c>
      <c r="E79" s="34" t="s">
        <v>170</v>
      </c>
      <c r="F79" s="33" t="s">
        <v>167</v>
      </c>
    </row>
    <row r="80" spans="1:6" ht="15" thickBot="1">
      <c r="A80" s="31">
        <v>1947817</v>
      </c>
      <c r="B80" s="32">
        <v>19000000</v>
      </c>
      <c r="C80" s="33" t="s">
        <v>177</v>
      </c>
      <c r="D80" s="33" t="s">
        <v>169</v>
      </c>
      <c r="E80" s="34" t="s">
        <v>170</v>
      </c>
      <c r="F80" s="33" t="s">
        <v>163</v>
      </c>
    </row>
    <row r="81" spans="1:6" ht="15" thickBot="1">
      <c r="A81" s="31">
        <v>1997947</v>
      </c>
      <c r="B81" s="32">
        <v>39500000</v>
      </c>
      <c r="C81" s="33" t="s">
        <v>182</v>
      </c>
      <c r="D81" s="33" t="s">
        <v>174</v>
      </c>
      <c r="E81" s="33" t="s">
        <v>166</v>
      </c>
      <c r="F81" s="33" t="s">
        <v>163</v>
      </c>
    </row>
    <row r="82" spans="1:6" ht="15" thickBot="1">
      <c r="A82" s="31">
        <v>2033851</v>
      </c>
      <c r="B82" s="32">
        <v>35000</v>
      </c>
      <c r="C82" s="33" t="s">
        <v>212</v>
      </c>
      <c r="D82" s="33" t="s">
        <v>165</v>
      </c>
      <c r="E82" s="33" t="s">
        <v>166</v>
      </c>
      <c r="F82" s="33" t="s">
        <v>167</v>
      </c>
    </row>
    <row r="83" spans="1:6" ht="15" thickBot="1">
      <c r="A83" s="31">
        <v>2040534</v>
      </c>
      <c r="B83" s="32">
        <v>17000</v>
      </c>
      <c r="C83" s="33" t="s">
        <v>213</v>
      </c>
      <c r="D83" s="33" t="s">
        <v>169</v>
      </c>
      <c r="E83" s="34" t="s">
        <v>170</v>
      </c>
      <c r="F83" s="33" t="s">
        <v>167</v>
      </c>
    </row>
    <row r="84" spans="1:6" ht="15" thickBot="1">
      <c r="A84" s="31">
        <v>2052081</v>
      </c>
      <c r="B84" s="32">
        <v>27500000</v>
      </c>
      <c r="C84" s="33" t="s">
        <v>206</v>
      </c>
      <c r="D84" s="33" t="s">
        <v>174</v>
      </c>
      <c r="E84" s="33" t="s">
        <v>166</v>
      </c>
      <c r="F84" s="33" t="s">
        <v>163</v>
      </c>
    </row>
    <row r="85" spans="1:6" ht="15" thickBot="1">
      <c r="A85" s="31">
        <v>2146098</v>
      </c>
      <c r="B85" s="32">
        <v>40000000</v>
      </c>
      <c r="C85" s="33" t="s">
        <v>214</v>
      </c>
      <c r="D85" s="33" t="s">
        <v>174</v>
      </c>
      <c r="E85" s="33" t="s">
        <v>166</v>
      </c>
      <c r="F85" s="33" t="s">
        <v>163</v>
      </c>
    </row>
    <row r="86" spans="1:6" ht="15" thickBot="1">
      <c r="A86" s="31">
        <v>2207932</v>
      </c>
      <c r="B86" s="32">
        <v>35000000</v>
      </c>
      <c r="C86" s="33" t="s">
        <v>180</v>
      </c>
      <c r="D86" s="33" t="s">
        <v>165</v>
      </c>
      <c r="E86" s="33" t="s">
        <v>166</v>
      </c>
      <c r="F86" s="33" t="s">
        <v>163</v>
      </c>
    </row>
    <row r="87" spans="1:6" ht="15" thickBot="1">
      <c r="A87" s="31">
        <v>2230469</v>
      </c>
      <c r="B87" s="32">
        <v>80000000</v>
      </c>
      <c r="C87" s="33" t="s">
        <v>177</v>
      </c>
      <c r="D87" s="33" t="s">
        <v>169</v>
      </c>
      <c r="E87" s="34" t="s">
        <v>170</v>
      </c>
      <c r="F87" s="33" t="s">
        <v>163</v>
      </c>
    </row>
    <row r="88" spans="1:6" ht="15" thickBot="1">
      <c r="A88" s="31">
        <v>2234957</v>
      </c>
      <c r="B88" s="32">
        <v>26900000</v>
      </c>
      <c r="C88" s="33" t="s">
        <v>215</v>
      </c>
      <c r="D88" s="33" t="s">
        <v>169</v>
      </c>
      <c r="E88" s="34" t="s">
        <v>170</v>
      </c>
      <c r="F88" s="33" t="s">
        <v>163</v>
      </c>
    </row>
    <row r="89" spans="1:6" ht="15" thickBot="1">
      <c r="A89" s="31">
        <v>2253425</v>
      </c>
      <c r="B89" s="32">
        <v>25000000</v>
      </c>
      <c r="C89" s="33" t="s">
        <v>180</v>
      </c>
      <c r="D89" s="33" t="s">
        <v>165</v>
      </c>
      <c r="E89" s="33" t="s">
        <v>166</v>
      </c>
      <c r="F89" s="33" t="s">
        <v>163</v>
      </c>
    </row>
    <row r="90" spans="1:6" ht="15" thickBot="1">
      <c r="A90" s="31">
        <v>2253437</v>
      </c>
      <c r="B90" s="32">
        <v>7500000</v>
      </c>
      <c r="C90" s="33" t="s">
        <v>180</v>
      </c>
      <c r="D90" s="33" t="s">
        <v>165</v>
      </c>
      <c r="E90" s="33" t="s">
        <v>166</v>
      </c>
      <c r="F90" s="33" t="s">
        <v>163</v>
      </c>
    </row>
    <row r="91" spans="1:6" ht="15" thickBot="1">
      <c r="A91" s="31">
        <v>2290028</v>
      </c>
      <c r="B91" s="32">
        <v>30000000</v>
      </c>
      <c r="C91" s="33" t="s">
        <v>160</v>
      </c>
      <c r="D91" s="33" t="s">
        <v>161</v>
      </c>
      <c r="E91" s="33" t="s">
        <v>162</v>
      </c>
      <c r="F91" s="33" t="s">
        <v>163</v>
      </c>
    </row>
    <row r="92" spans="1:6" ht="15" thickBot="1">
      <c r="A92" s="31">
        <v>2290030</v>
      </c>
      <c r="B92" s="32">
        <v>34000000</v>
      </c>
      <c r="C92" s="33" t="s">
        <v>160</v>
      </c>
      <c r="D92" s="33" t="s">
        <v>161</v>
      </c>
      <c r="E92" s="33" t="s">
        <v>162</v>
      </c>
      <c r="F92" s="33" t="s">
        <v>163</v>
      </c>
    </row>
    <row r="93" spans="1:6" ht="15" thickBot="1">
      <c r="A93" s="31">
        <v>2290031</v>
      </c>
      <c r="B93" s="32">
        <v>29500000</v>
      </c>
      <c r="C93" s="33" t="s">
        <v>160</v>
      </c>
      <c r="D93" s="33" t="s">
        <v>161</v>
      </c>
      <c r="E93" s="33" t="s">
        <v>162</v>
      </c>
      <c r="F93" s="33" t="s">
        <v>163</v>
      </c>
    </row>
    <row r="94" spans="1:6" ht="15" thickBot="1">
      <c r="A94" s="31">
        <v>2290032</v>
      </c>
      <c r="B94" s="32">
        <v>30000000</v>
      </c>
      <c r="C94" s="33" t="s">
        <v>160</v>
      </c>
      <c r="D94" s="33" t="s">
        <v>161</v>
      </c>
      <c r="E94" s="33" t="s">
        <v>162</v>
      </c>
      <c r="F94" s="33" t="s">
        <v>163</v>
      </c>
    </row>
    <row r="95" spans="1:6" ht="15" thickBot="1">
      <c r="A95" s="31">
        <v>2290033</v>
      </c>
      <c r="B95" s="32">
        <v>37500000</v>
      </c>
      <c r="C95" s="33" t="s">
        <v>160</v>
      </c>
      <c r="D95" s="33" t="s">
        <v>161</v>
      </c>
      <c r="E95" s="33" t="s">
        <v>162</v>
      </c>
      <c r="F95" s="33" t="s">
        <v>163</v>
      </c>
    </row>
    <row r="96" spans="1:6" ht="15" thickBot="1">
      <c r="A96" s="31">
        <v>2311887</v>
      </c>
      <c r="B96" s="32">
        <v>45000000</v>
      </c>
      <c r="C96" s="33" t="s">
        <v>206</v>
      </c>
      <c r="D96" s="33" t="s">
        <v>174</v>
      </c>
      <c r="E96" s="33" t="s">
        <v>166</v>
      </c>
      <c r="F96" s="33" t="s">
        <v>163</v>
      </c>
    </row>
    <row r="97" spans="1:6" ht="15" thickBot="1">
      <c r="A97" s="31">
        <v>2350458</v>
      </c>
      <c r="B97" s="32">
        <v>12800000</v>
      </c>
      <c r="C97" s="33" t="s">
        <v>180</v>
      </c>
      <c r="D97" s="33" t="s">
        <v>165</v>
      </c>
      <c r="E97" s="33" t="s">
        <v>166</v>
      </c>
      <c r="F97" s="33" t="s">
        <v>163</v>
      </c>
    </row>
    <row r="98" spans="1:6" ht="15" thickBot="1">
      <c r="A98" s="31">
        <v>2379549</v>
      </c>
      <c r="B98" s="32">
        <v>3200000</v>
      </c>
      <c r="C98" s="33" t="s">
        <v>216</v>
      </c>
      <c r="D98" s="33" t="s">
        <v>174</v>
      </c>
      <c r="E98" s="33" t="s">
        <v>166</v>
      </c>
      <c r="F98" s="33" t="s">
        <v>163</v>
      </c>
    </row>
    <row r="99" spans="1:6" ht="15" thickBot="1">
      <c r="A99" s="31">
        <v>2384979</v>
      </c>
      <c r="B99" s="32">
        <v>1750000</v>
      </c>
      <c r="C99" s="33" t="s">
        <v>217</v>
      </c>
      <c r="D99" s="33" t="s">
        <v>169</v>
      </c>
      <c r="E99" s="34" t="s">
        <v>170</v>
      </c>
      <c r="F99" s="33" t="s">
        <v>163</v>
      </c>
    </row>
    <row r="100" spans="1:6" ht="15" thickBot="1">
      <c r="A100" s="31">
        <v>2407301</v>
      </c>
      <c r="B100" s="32">
        <v>48000</v>
      </c>
      <c r="C100" s="33" t="s">
        <v>180</v>
      </c>
      <c r="D100" s="33" t="s">
        <v>165</v>
      </c>
      <c r="E100" s="33" t="s">
        <v>166</v>
      </c>
      <c r="F100" s="33" t="s">
        <v>167</v>
      </c>
    </row>
    <row r="101" spans="1:6" ht="15" thickBot="1">
      <c r="A101" s="31">
        <v>2439750</v>
      </c>
      <c r="B101" s="32">
        <v>21200000</v>
      </c>
      <c r="C101" s="33" t="s">
        <v>206</v>
      </c>
      <c r="D101" s="33" t="s">
        <v>174</v>
      </c>
      <c r="E101" s="33" t="s">
        <v>166</v>
      </c>
      <c r="F101" s="33" t="s">
        <v>163</v>
      </c>
    </row>
    <row r="102" spans="1:6" ht="15" thickBot="1">
      <c r="A102" s="31">
        <v>2439775</v>
      </c>
      <c r="B102" s="32">
        <v>23000000</v>
      </c>
      <c r="C102" s="33" t="s">
        <v>206</v>
      </c>
      <c r="D102" s="33" t="s">
        <v>174</v>
      </c>
      <c r="E102" s="33" t="s">
        <v>166</v>
      </c>
      <c r="F102" s="33" t="s">
        <v>163</v>
      </c>
    </row>
    <row r="103" spans="1:6" ht="15" thickBot="1">
      <c r="A103" s="31">
        <v>2439785</v>
      </c>
      <c r="B103" s="32">
        <v>21500000</v>
      </c>
      <c r="C103" s="33" t="s">
        <v>206</v>
      </c>
      <c r="D103" s="33" t="s">
        <v>174</v>
      </c>
      <c r="E103" s="33" t="s">
        <v>166</v>
      </c>
      <c r="F103" s="33" t="s">
        <v>163</v>
      </c>
    </row>
    <row r="104" spans="1:6" ht="15" thickBot="1">
      <c r="A104" s="31">
        <v>2439790</v>
      </c>
      <c r="B104" s="32">
        <v>21500000</v>
      </c>
      <c r="C104" s="33" t="s">
        <v>206</v>
      </c>
      <c r="D104" s="33" t="s">
        <v>174</v>
      </c>
      <c r="E104" s="33" t="s">
        <v>166</v>
      </c>
      <c r="F104" s="33" t="s">
        <v>163</v>
      </c>
    </row>
    <row r="105" spans="1:6" ht="15" thickBot="1">
      <c r="A105" s="31">
        <v>2471472</v>
      </c>
      <c r="B105" s="32">
        <v>40000000</v>
      </c>
      <c r="C105" s="33" t="s">
        <v>206</v>
      </c>
      <c r="D105" s="33" t="s">
        <v>174</v>
      </c>
      <c r="E105" s="33" t="s">
        <v>166</v>
      </c>
      <c r="F105" s="33" t="s">
        <v>163</v>
      </c>
    </row>
    <row r="106" spans="1:6" ht="15" thickBot="1">
      <c r="A106" s="31">
        <v>2471478</v>
      </c>
      <c r="B106" s="32">
        <v>26000000</v>
      </c>
      <c r="C106" s="33" t="s">
        <v>206</v>
      </c>
      <c r="D106" s="33" t="s">
        <v>174</v>
      </c>
      <c r="E106" s="33" t="s">
        <v>166</v>
      </c>
      <c r="F106" s="33" t="s">
        <v>163</v>
      </c>
    </row>
    <row r="107" spans="1:6" ht="15" thickBot="1">
      <c r="A107" s="31">
        <v>2478189</v>
      </c>
      <c r="B107" s="32">
        <v>45000000</v>
      </c>
      <c r="C107" s="33" t="s">
        <v>218</v>
      </c>
      <c r="D107" s="33" t="s">
        <v>161</v>
      </c>
      <c r="E107" s="33" t="s">
        <v>162</v>
      </c>
      <c r="F107" s="33" t="s">
        <v>163</v>
      </c>
    </row>
    <row r="108" spans="1:6" ht="15" thickBot="1">
      <c r="A108" s="31">
        <v>2502517</v>
      </c>
      <c r="B108" s="32">
        <v>25000000</v>
      </c>
      <c r="C108" s="33" t="s">
        <v>219</v>
      </c>
      <c r="D108" s="33" t="s">
        <v>200</v>
      </c>
      <c r="E108" s="33" t="s">
        <v>166</v>
      </c>
      <c r="F108" s="33" t="s">
        <v>163</v>
      </c>
    </row>
    <row r="109" spans="1:6" ht="15" thickBot="1">
      <c r="A109" s="31">
        <v>2510609</v>
      </c>
      <c r="B109" s="32">
        <v>21000000</v>
      </c>
      <c r="C109" s="33" t="s">
        <v>206</v>
      </c>
      <c r="D109" s="33" t="s">
        <v>174</v>
      </c>
      <c r="E109" s="33" t="s">
        <v>166</v>
      </c>
      <c r="F109" s="33" t="s">
        <v>163</v>
      </c>
    </row>
    <row r="110" spans="1:6" ht="15" thickBot="1">
      <c r="A110" s="31">
        <v>2510625</v>
      </c>
      <c r="B110" s="32">
        <v>23000000</v>
      </c>
      <c r="C110" s="33" t="s">
        <v>206</v>
      </c>
      <c r="D110" s="33" t="s">
        <v>174</v>
      </c>
      <c r="E110" s="33" t="s">
        <v>166</v>
      </c>
      <c r="F110" s="33" t="s">
        <v>163</v>
      </c>
    </row>
    <row r="111" spans="1:6" ht="15" thickBot="1">
      <c r="A111" s="31">
        <v>2510674</v>
      </c>
      <c r="B111" s="32">
        <v>23000000</v>
      </c>
      <c r="C111" s="33" t="s">
        <v>206</v>
      </c>
      <c r="D111" s="33" t="s">
        <v>174</v>
      </c>
      <c r="E111" s="33" t="s">
        <v>166</v>
      </c>
      <c r="F111" s="33" t="s">
        <v>163</v>
      </c>
    </row>
    <row r="112" spans="1:6" ht="15" thickBot="1">
      <c r="A112" s="31">
        <v>2561049</v>
      </c>
      <c r="B112" s="32">
        <v>5000000</v>
      </c>
      <c r="C112" s="33" t="s">
        <v>220</v>
      </c>
      <c r="D112" s="33" t="s">
        <v>165</v>
      </c>
      <c r="E112" s="33" t="s">
        <v>166</v>
      </c>
      <c r="F112" s="33" t="s">
        <v>163</v>
      </c>
    </row>
    <row r="113" spans="1:6" ht="15" thickBot="1">
      <c r="A113" s="31">
        <v>2642166</v>
      </c>
      <c r="B113" s="32">
        <v>55000000</v>
      </c>
      <c r="C113" s="33" t="s">
        <v>221</v>
      </c>
      <c r="D113" s="33" t="s">
        <v>169</v>
      </c>
      <c r="E113" s="34" t="s">
        <v>170</v>
      </c>
      <c r="F113" s="33" t="s">
        <v>163</v>
      </c>
    </row>
    <row r="114" spans="1:6" ht="15" thickBot="1">
      <c r="A114" s="31">
        <v>2642249</v>
      </c>
      <c r="B114" s="32">
        <v>4500000</v>
      </c>
      <c r="C114" s="33" t="s">
        <v>210</v>
      </c>
      <c r="D114" s="33" t="s">
        <v>169</v>
      </c>
      <c r="E114" s="34" t="s">
        <v>170</v>
      </c>
      <c r="F114" s="33" t="s">
        <v>163</v>
      </c>
    </row>
    <row r="115" spans="1:6" ht="15" thickBot="1">
      <c r="A115" s="31">
        <v>2651838</v>
      </c>
      <c r="B115" s="32">
        <v>88500000</v>
      </c>
      <c r="C115" s="33" t="s">
        <v>183</v>
      </c>
      <c r="D115" s="33" t="s">
        <v>169</v>
      </c>
      <c r="E115" s="34" t="s">
        <v>170</v>
      </c>
      <c r="F115" s="33" t="s">
        <v>163</v>
      </c>
    </row>
    <row r="116" spans="1:6" ht="15" thickBot="1">
      <c r="A116" s="31">
        <v>2682075</v>
      </c>
      <c r="B116" s="32">
        <v>47000000</v>
      </c>
      <c r="C116" s="33" t="s">
        <v>201</v>
      </c>
      <c r="D116" s="33" t="s">
        <v>169</v>
      </c>
      <c r="E116" s="34" t="s">
        <v>170</v>
      </c>
      <c r="F116" s="33" t="s">
        <v>163</v>
      </c>
    </row>
    <row r="117" spans="1:6" ht="15" thickBot="1">
      <c r="A117" s="31">
        <v>2720301</v>
      </c>
      <c r="B117" s="32">
        <v>22000000</v>
      </c>
      <c r="C117" s="33" t="s">
        <v>180</v>
      </c>
      <c r="D117" s="33" t="s">
        <v>165</v>
      </c>
      <c r="E117" s="33" t="s">
        <v>166</v>
      </c>
      <c r="F117" s="33" t="s">
        <v>163</v>
      </c>
    </row>
    <row r="118" spans="1:6" ht="15" thickBot="1">
      <c r="A118" s="31">
        <v>2720314</v>
      </c>
      <c r="B118" s="32">
        <v>38000000</v>
      </c>
      <c r="C118" s="33" t="s">
        <v>180</v>
      </c>
      <c r="D118" s="33" t="s">
        <v>165</v>
      </c>
      <c r="E118" s="33" t="s">
        <v>166</v>
      </c>
      <c r="F118" s="33" t="s">
        <v>163</v>
      </c>
    </row>
    <row r="119" spans="1:6" ht="15" thickBot="1">
      <c r="A119" s="31">
        <v>2727355</v>
      </c>
      <c r="B119" s="32">
        <v>17000000</v>
      </c>
      <c r="C119" s="33" t="s">
        <v>196</v>
      </c>
      <c r="D119" s="33" t="s">
        <v>161</v>
      </c>
      <c r="E119" s="33" t="s">
        <v>162</v>
      </c>
      <c r="F119" s="33" t="s">
        <v>163</v>
      </c>
    </row>
    <row r="120" spans="1:6" ht="15" thickBot="1">
      <c r="A120" s="31">
        <v>2733346</v>
      </c>
      <c r="B120" s="32">
        <v>12500000</v>
      </c>
      <c r="C120" s="33" t="s">
        <v>196</v>
      </c>
      <c r="D120" s="33" t="s">
        <v>161</v>
      </c>
      <c r="E120" s="33" t="s">
        <v>162</v>
      </c>
      <c r="F120" s="33" t="s">
        <v>163</v>
      </c>
    </row>
    <row r="121" spans="1:6" ht="15" thickBot="1">
      <c r="A121" s="31">
        <v>2747251</v>
      </c>
      <c r="B121" s="32">
        <v>57500000</v>
      </c>
      <c r="C121" s="33" t="s">
        <v>194</v>
      </c>
      <c r="D121" s="33" t="s">
        <v>174</v>
      </c>
      <c r="E121" s="33" t="s">
        <v>166</v>
      </c>
      <c r="F121" s="33" t="s">
        <v>163</v>
      </c>
    </row>
    <row r="122" spans="1:6" ht="15" thickBot="1">
      <c r="A122" s="31">
        <v>2755668</v>
      </c>
      <c r="B122" s="32">
        <v>5000000</v>
      </c>
      <c r="C122" s="33" t="s">
        <v>196</v>
      </c>
      <c r="D122" s="33" t="s">
        <v>161</v>
      </c>
      <c r="E122" s="33" t="s">
        <v>162</v>
      </c>
      <c r="F122" s="33" t="s">
        <v>163</v>
      </c>
    </row>
    <row r="123" spans="1:6" ht="15" thickBot="1">
      <c r="A123" s="31">
        <v>2771097</v>
      </c>
      <c r="B123" s="32">
        <v>4500000</v>
      </c>
      <c r="C123" s="33" t="s">
        <v>222</v>
      </c>
      <c r="D123" s="33" t="s">
        <v>169</v>
      </c>
      <c r="E123" s="34" t="s">
        <v>170</v>
      </c>
      <c r="F123" s="33" t="s">
        <v>163</v>
      </c>
    </row>
    <row r="124" spans="1:6" ht="15" thickBot="1">
      <c r="A124" s="31">
        <v>2794766</v>
      </c>
      <c r="B124" s="32">
        <v>620000000</v>
      </c>
      <c r="C124" s="33" t="s">
        <v>223</v>
      </c>
      <c r="D124" s="33" t="s">
        <v>174</v>
      </c>
      <c r="E124" s="33" t="s">
        <v>166</v>
      </c>
      <c r="F124" s="33" t="s">
        <v>163</v>
      </c>
    </row>
    <row r="125" spans="1:6" ht="15" thickBot="1">
      <c r="A125" s="31">
        <v>2799588</v>
      </c>
      <c r="B125" s="32">
        <v>6000000</v>
      </c>
      <c r="C125" s="33" t="s">
        <v>224</v>
      </c>
      <c r="D125" s="33" t="s">
        <v>200</v>
      </c>
      <c r="E125" s="33" t="s">
        <v>166</v>
      </c>
      <c r="F125" s="33" t="s">
        <v>163</v>
      </c>
    </row>
    <row r="126" spans="1:6" ht="15" thickBot="1">
      <c r="A126" s="31">
        <v>2800276</v>
      </c>
      <c r="B126" s="32">
        <v>18000000</v>
      </c>
      <c r="C126" s="33" t="s">
        <v>225</v>
      </c>
      <c r="D126" s="33" t="s">
        <v>165</v>
      </c>
      <c r="E126" s="33" t="s">
        <v>166</v>
      </c>
      <c r="F126" s="33" t="s">
        <v>163</v>
      </c>
    </row>
    <row r="127" spans="1:6" ht="15" thickBot="1">
      <c r="A127" s="31">
        <v>2800278</v>
      </c>
      <c r="B127" s="32">
        <v>25000000</v>
      </c>
      <c r="C127" s="33" t="s">
        <v>226</v>
      </c>
      <c r="D127" s="33" t="s">
        <v>165</v>
      </c>
      <c r="E127" s="33" t="s">
        <v>166</v>
      </c>
      <c r="F127" s="33" t="s">
        <v>163</v>
      </c>
    </row>
    <row r="128" spans="1:6" ht="15" thickBot="1">
      <c r="A128" s="31">
        <v>2800283</v>
      </c>
      <c r="B128" s="32">
        <v>30000000</v>
      </c>
      <c r="C128" s="33" t="s">
        <v>227</v>
      </c>
      <c r="D128" s="33" t="s">
        <v>165</v>
      </c>
      <c r="E128" s="33" t="s">
        <v>166</v>
      </c>
      <c r="F128" s="33" t="s">
        <v>163</v>
      </c>
    </row>
    <row r="129" spans="1:6" ht="15" thickBot="1">
      <c r="A129" s="31">
        <v>2800285</v>
      </c>
      <c r="B129" s="32">
        <v>23000000</v>
      </c>
      <c r="C129" s="33" t="s">
        <v>226</v>
      </c>
      <c r="D129" s="33" t="s">
        <v>165</v>
      </c>
      <c r="E129" s="33" t="s">
        <v>166</v>
      </c>
      <c r="F129" s="33" t="s">
        <v>163</v>
      </c>
    </row>
    <row r="130" spans="1:6" ht="15" thickBot="1">
      <c r="A130" s="31">
        <v>2801879</v>
      </c>
      <c r="B130" s="32">
        <v>5500000</v>
      </c>
      <c r="C130" s="33" t="s">
        <v>228</v>
      </c>
      <c r="D130" s="33" t="s">
        <v>174</v>
      </c>
      <c r="E130" s="33" t="s">
        <v>166</v>
      </c>
      <c r="F130" s="33" t="s">
        <v>163</v>
      </c>
    </row>
    <row r="131" spans="1:6" ht="29" thickBot="1">
      <c r="A131" s="31">
        <v>2804200</v>
      </c>
      <c r="B131" s="32">
        <v>4100000</v>
      </c>
      <c r="C131" s="33" t="s">
        <v>229</v>
      </c>
      <c r="D131" s="33" t="s">
        <v>161</v>
      </c>
      <c r="E131" s="33" t="s">
        <v>162</v>
      </c>
      <c r="F131" s="33" t="s">
        <v>163</v>
      </c>
    </row>
    <row r="132" spans="1:6" ht="15" thickBot="1">
      <c r="A132" s="31">
        <v>2805158</v>
      </c>
      <c r="B132" s="32">
        <v>40000000</v>
      </c>
      <c r="C132" s="33" t="s">
        <v>230</v>
      </c>
      <c r="D132" s="33" t="s">
        <v>161</v>
      </c>
      <c r="E132" s="33" t="s">
        <v>162</v>
      </c>
      <c r="F132" s="33" t="s">
        <v>163</v>
      </c>
    </row>
    <row r="133" spans="1:6" ht="15" thickBot="1">
      <c r="A133" s="31">
        <v>2821111</v>
      </c>
      <c r="B133" s="32">
        <v>50000000</v>
      </c>
      <c r="C133" s="33" t="s">
        <v>182</v>
      </c>
      <c r="D133" s="33" t="s">
        <v>174</v>
      </c>
      <c r="E133" s="33" t="s">
        <v>166</v>
      </c>
      <c r="F133" s="33" t="s">
        <v>163</v>
      </c>
    </row>
    <row r="134" spans="1:6" ht="15" thickBot="1">
      <c r="A134" s="31">
        <v>2842741</v>
      </c>
      <c r="B134" s="32">
        <v>6800000</v>
      </c>
      <c r="C134" s="33" t="s">
        <v>231</v>
      </c>
      <c r="D134" s="33" t="s">
        <v>169</v>
      </c>
      <c r="E134" s="34" t="s">
        <v>170</v>
      </c>
      <c r="F134" s="33" t="s">
        <v>163</v>
      </c>
    </row>
    <row r="135" spans="1:6" ht="15" thickBot="1">
      <c r="A135" s="31">
        <v>2860713</v>
      </c>
      <c r="B135" s="32">
        <v>28000000</v>
      </c>
      <c r="C135" s="33" t="s">
        <v>160</v>
      </c>
      <c r="D135" s="33" t="s">
        <v>161</v>
      </c>
      <c r="E135" s="33" t="s">
        <v>162</v>
      </c>
      <c r="F135" s="33" t="s">
        <v>163</v>
      </c>
    </row>
    <row r="136" spans="1:6" ht="15" thickBot="1">
      <c r="A136" s="31">
        <v>2860714</v>
      </c>
      <c r="B136" s="32">
        <v>32500000</v>
      </c>
      <c r="C136" s="33" t="s">
        <v>160</v>
      </c>
      <c r="D136" s="33" t="s">
        <v>161</v>
      </c>
      <c r="E136" s="33" t="s">
        <v>162</v>
      </c>
      <c r="F136" s="33" t="s">
        <v>163</v>
      </c>
    </row>
    <row r="137" spans="1:6" ht="15" thickBot="1">
      <c r="A137" s="31">
        <v>2860715</v>
      </c>
      <c r="B137" s="32">
        <v>40000000</v>
      </c>
      <c r="C137" s="33" t="s">
        <v>160</v>
      </c>
      <c r="D137" s="33" t="s">
        <v>161</v>
      </c>
      <c r="E137" s="33" t="s">
        <v>162</v>
      </c>
      <c r="F137" s="33" t="s">
        <v>163</v>
      </c>
    </row>
    <row r="138" spans="1:6" ht="15" thickBot="1">
      <c r="A138" s="31">
        <v>2861614</v>
      </c>
      <c r="B138" s="32">
        <v>50000</v>
      </c>
      <c r="C138" s="33" t="s">
        <v>188</v>
      </c>
      <c r="D138" s="33" t="s">
        <v>165</v>
      </c>
      <c r="E138" s="33" t="s">
        <v>166</v>
      </c>
      <c r="F138" s="33" t="s">
        <v>167</v>
      </c>
    </row>
    <row r="139" spans="1:6" ht="15" thickBot="1">
      <c r="A139" s="31">
        <v>2873584</v>
      </c>
      <c r="B139" s="32">
        <v>20000000</v>
      </c>
      <c r="C139" s="33" t="s">
        <v>232</v>
      </c>
      <c r="D139" s="33" t="s">
        <v>169</v>
      </c>
      <c r="E139" s="34" t="s">
        <v>170</v>
      </c>
      <c r="F139" s="33" t="s">
        <v>163</v>
      </c>
    </row>
    <row r="140" spans="1:6" ht="15" thickBot="1">
      <c r="A140" s="31">
        <v>2883507</v>
      </c>
      <c r="B140" s="32">
        <v>19400000</v>
      </c>
      <c r="C140" s="33" t="s">
        <v>233</v>
      </c>
      <c r="D140" s="33" t="s">
        <v>169</v>
      </c>
      <c r="E140" s="34" t="s">
        <v>170</v>
      </c>
      <c r="F140" s="33" t="s">
        <v>163</v>
      </c>
    </row>
    <row r="141" spans="1:6" ht="15" thickBot="1">
      <c r="A141" s="31">
        <v>2913869</v>
      </c>
      <c r="B141" s="32">
        <v>12000000</v>
      </c>
      <c r="C141" s="33" t="s">
        <v>160</v>
      </c>
      <c r="D141" s="33" t="s">
        <v>174</v>
      </c>
      <c r="E141" s="33" t="s">
        <v>166</v>
      </c>
      <c r="F141" s="33" t="s">
        <v>163</v>
      </c>
    </row>
    <row r="142" spans="1:6" ht="15" thickBot="1">
      <c r="A142" s="31">
        <v>2922894</v>
      </c>
      <c r="B142" s="32">
        <v>1022000</v>
      </c>
      <c r="C142" s="33" t="s">
        <v>203</v>
      </c>
      <c r="D142" s="33" t="s">
        <v>169</v>
      </c>
      <c r="E142" s="34" t="s">
        <v>170</v>
      </c>
      <c r="F142" s="33" t="s">
        <v>167</v>
      </c>
    </row>
    <row r="143" spans="1:6" ht="15" thickBot="1">
      <c r="A143" s="31">
        <v>2956901</v>
      </c>
      <c r="B143" s="32">
        <v>30000000</v>
      </c>
      <c r="C143" s="33" t="s">
        <v>234</v>
      </c>
      <c r="D143" s="33" t="s">
        <v>165</v>
      </c>
      <c r="E143" s="33" t="s">
        <v>166</v>
      </c>
      <c r="F143" s="33" t="s">
        <v>163</v>
      </c>
    </row>
    <row r="144" spans="1:6" ht="15" thickBot="1">
      <c r="A144" s="31">
        <v>3001749</v>
      </c>
      <c r="B144" s="32">
        <v>43000</v>
      </c>
      <c r="C144" s="33" t="s">
        <v>235</v>
      </c>
      <c r="D144" s="33" t="s">
        <v>161</v>
      </c>
      <c r="E144" s="33" t="s">
        <v>162</v>
      </c>
      <c r="F144" s="33" t="s">
        <v>167</v>
      </c>
    </row>
    <row r="145" spans="1:6" ht="15" thickBot="1">
      <c r="A145" s="31">
        <v>3004205</v>
      </c>
      <c r="B145" s="32">
        <v>32000000</v>
      </c>
      <c r="C145" s="33" t="s">
        <v>225</v>
      </c>
      <c r="D145" s="33" t="s">
        <v>165</v>
      </c>
      <c r="E145" s="33" t="s">
        <v>166</v>
      </c>
      <c r="F145" s="33" t="s">
        <v>163</v>
      </c>
    </row>
    <row r="146" spans="1:6" ht="15" thickBot="1">
      <c r="A146" s="31">
        <v>3011860</v>
      </c>
      <c r="B146" s="32">
        <v>59500000</v>
      </c>
      <c r="C146" s="33" t="s">
        <v>184</v>
      </c>
      <c r="D146" s="33" t="s">
        <v>161</v>
      </c>
      <c r="E146" s="33" t="s">
        <v>162</v>
      </c>
      <c r="F146" s="33" t="s">
        <v>163</v>
      </c>
    </row>
    <row r="147" spans="1:6" ht="15" thickBot="1">
      <c r="A147" s="31">
        <v>3011866</v>
      </c>
      <c r="B147" s="32">
        <v>71500000</v>
      </c>
      <c r="C147" s="33" t="s">
        <v>184</v>
      </c>
      <c r="D147" s="33" t="s">
        <v>161</v>
      </c>
      <c r="E147" s="33" t="s">
        <v>162</v>
      </c>
      <c r="F147" s="33" t="s">
        <v>163</v>
      </c>
    </row>
    <row r="148" spans="1:6" ht="15" thickBot="1">
      <c r="A148" s="31">
        <v>3011868</v>
      </c>
      <c r="B148" s="32">
        <v>55000000</v>
      </c>
      <c r="C148" s="33" t="s">
        <v>184</v>
      </c>
      <c r="D148" s="33" t="s">
        <v>161</v>
      </c>
      <c r="E148" s="33" t="s">
        <v>162</v>
      </c>
      <c r="F148" s="33" t="s">
        <v>163</v>
      </c>
    </row>
    <row r="149" spans="1:6" ht="15" thickBot="1">
      <c r="A149" s="31">
        <v>3011910</v>
      </c>
      <c r="B149" s="32">
        <v>59500000</v>
      </c>
      <c r="C149" s="33" t="s">
        <v>184</v>
      </c>
      <c r="D149" s="33" t="s">
        <v>161</v>
      </c>
      <c r="E149" s="33" t="s">
        <v>162</v>
      </c>
      <c r="F149" s="33" t="s">
        <v>163</v>
      </c>
    </row>
    <row r="150" spans="1:6" ht="15" thickBot="1">
      <c r="A150" s="31">
        <v>3011916</v>
      </c>
      <c r="B150" s="32">
        <v>68500000</v>
      </c>
      <c r="C150" s="33" t="s">
        <v>184</v>
      </c>
      <c r="D150" s="33" t="s">
        <v>161</v>
      </c>
      <c r="E150" s="33" t="s">
        <v>162</v>
      </c>
      <c r="F150" s="33" t="s">
        <v>163</v>
      </c>
    </row>
    <row r="151" spans="1:6" ht="15" thickBot="1">
      <c r="A151" s="31">
        <v>3011918</v>
      </c>
      <c r="B151" s="32">
        <v>58500000</v>
      </c>
      <c r="C151" s="33" t="s">
        <v>184</v>
      </c>
      <c r="D151" s="33" t="s">
        <v>161</v>
      </c>
      <c r="E151" s="33" t="s">
        <v>162</v>
      </c>
      <c r="F151" s="33" t="s">
        <v>163</v>
      </c>
    </row>
    <row r="152" spans="1:6" ht="15" thickBot="1">
      <c r="A152" s="31">
        <v>3012199</v>
      </c>
      <c r="B152" s="32">
        <v>67000000</v>
      </c>
      <c r="C152" s="33" t="s">
        <v>184</v>
      </c>
      <c r="D152" s="33" t="s">
        <v>161</v>
      </c>
      <c r="E152" s="33" t="s">
        <v>162</v>
      </c>
      <c r="F152" s="33" t="s">
        <v>163</v>
      </c>
    </row>
    <row r="153" spans="1:6" ht="15" thickBot="1">
      <c r="A153" s="31">
        <v>3012382</v>
      </c>
      <c r="B153" s="32">
        <v>85000</v>
      </c>
      <c r="C153" s="33" t="s">
        <v>184</v>
      </c>
      <c r="D153" s="33" t="s">
        <v>161</v>
      </c>
      <c r="E153" s="33" t="s">
        <v>162</v>
      </c>
      <c r="F153" s="33" t="s">
        <v>167</v>
      </c>
    </row>
    <row r="154" spans="1:6" ht="15" thickBot="1">
      <c r="A154" s="31">
        <v>3012383</v>
      </c>
      <c r="B154" s="32">
        <v>110000</v>
      </c>
      <c r="C154" s="33" t="s">
        <v>184</v>
      </c>
      <c r="D154" s="33" t="s">
        <v>161</v>
      </c>
      <c r="E154" s="33" t="s">
        <v>162</v>
      </c>
      <c r="F154" s="33" t="s">
        <v>167</v>
      </c>
    </row>
    <row r="155" spans="1:6" ht="15" thickBot="1">
      <c r="A155" s="31">
        <v>3023562</v>
      </c>
      <c r="B155" s="32">
        <v>120000000</v>
      </c>
      <c r="C155" s="33" t="s">
        <v>236</v>
      </c>
      <c r="D155" s="33" t="s">
        <v>161</v>
      </c>
      <c r="E155" s="33" t="s">
        <v>162</v>
      </c>
      <c r="F155" s="33" t="s">
        <v>163</v>
      </c>
    </row>
    <row r="156" spans="1:6" ht="29" thickBot="1">
      <c r="A156" s="31">
        <v>3051476</v>
      </c>
      <c r="B156" s="32">
        <v>65000000</v>
      </c>
      <c r="C156" s="33" t="s">
        <v>237</v>
      </c>
      <c r="D156" s="33" t="s">
        <v>174</v>
      </c>
      <c r="E156" s="33" t="s">
        <v>166</v>
      </c>
      <c r="F156" s="33" t="s">
        <v>163</v>
      </c>
    </row>
    <row r="157" spans="1:6" ht="15" thickBot="1">
      <c r="A157" s="31">
        <v>3075436</v>
      </c>
      <c r="B157" s="32">
        <v>40000000</v>
      </c>
      <c r="C157" s="33" t="s">
        <v>180</v>
      </c>
      <c r="D157" s="33" t="s">
        <v>165</v>
      </c>
      <c r="E157" s="33" t="s">
        <v>166</v>
      </c>
      <c r="F157" s="33" t="s">
        <v>163</v>
      </c>
    </row>
    <row r="158" spans="1:6" ht="15" thickBot="1">
      <c r="A158" s="31">
        <v>3083340</v>
      </c>
      <c r="B158" s="32">
        <v>130000</v>
      </c>
      <c r="C158" s="33" t="s">
        <v>184</v>
      </c>
      <c r="D158" s="33" t="s">
        <v>161</v>
      </c>
      <c r="E158" s="33" t="s">
        <v>162</v>
      </c>
      <c r="F158" s="33" t="s">
        <v>167</v>
      </c>
    </row>
    <row r="159" spans="1:6" ht="15" thickBot="1">
      <c r="A159" s="31">
        <v>3083937</v>
      </c>
      <c r="B159" s="32">
        <v>58500000</v>
      </c>
      <c r="C159" s="33" t="s">
        <v>184</v>
      </c>
      <c r="D159" s="33" t="s">
        <v>161</v>
      </c>
      <c r="E159" s="33" t="s">
        <v>162</v>
      </c>
      <c r="F159" s="33" t="s">
        <v>163</v>
      </c>
    </row>
    <row r="160" spans="1:6" ht="15" thickBot="1">
      <c r="A160" s="31">
        <v>3083938</v>
      </c>
      <c r="B160" s="32">
        <v>58000000</v>
      </c>
      <c r="C160" s="33" t="s">
        <v>184</v>
      </c>
      <c r="D160" s="33" t="s">
        <v>161</v>
      </c>
      <c r="E160" s="33" t="s">
        <v>162</v>
      </c>
      <c r="F160" s="33" t="s">
        <v>163</v>
      </c>
    </row>
    <row r="161" spans="1:6" ht="15" thickBot="1">
      <c r="A161" s="31">
        <v>3084030</v>
      </c>
      <c r="B161" s="32">
        <v>110000000</v>
      </c>
      <c r="C161" s="33" t="s">
        <v>236</v>
      </c>
      <c r="D161" s="33" t="s">
        <v>161</v>
      </c>
      <c r="E161" s="33" t="s">
        <v>162</v>
      </c>
      <c r="F161" s="33" t="s">
        <v>163</v>
      </c>
    </row>
    <row r="162" spans="1:6" ht="15" thickBot="1">
      <c r="A162" s="31">
        <v>3084031</v>
      </c>
      <c r="B162" s="32">
        <v>119000000</v>
      </c>
      <c r="C162" s="33" t="s">
        <v>236</v>
      </c>
      <c r="D162" s="33" t="s">
        <v>161</v>
      </c>
      <c r="E162" s="33" t="s">
        <v>162</v>
      </c>
      <c r="F162" s="33" t="s">
        <v>163</v>
      </c>
    </row>
    <row r="163" spans="1:6" ht="15" thickBot="1">
      <c r="A163" s="31">
        <v>3084032</v>
      </c>
      <c r="B163" s="32">
        <v>115000000</v>
      </c>
      <c r="C163" s="33" t="s">
        <v>236</v>
      </c>
      <c r="D163" s="33" t="s">
        <v>161</v>
      </c>
      <c r="E163" s="33" t="s">
        <v>162</v>
      </c>
      <c r="F163" s="33" t="s">
        <v>163</v>
      </c>
    </row>
    <row r="164" spans="1:6" ht="15" thickBot="1">
      <c r="A164" s="31">
        <v>3084036</v>
      </c>
      <c r="B164" s="32">
        <v>59500000</v>
      </c>
      <c r="C164" s="33" t="s">
        <v>184</v>
      </c>
      <c r="D164" s="33" t="s">
        <v>161</v>
      </c>
      <c r="E164" s="33" t="s">
        <v>162</v>
      </c>
      <c r="F164" s="33" t="s">
        <v>163</v>
      </c>
    </row>
    <row r="165" spans="1:6" ht="15" thickBot="1">
      <c r="A165" s="31">
        <v>3089236</v>
      </c>
      <c r="B165" s="32">
        <v>19000000</v>
      </c>
      <c r="C165" s="33" t="s">
        <v>238</v>
      </c>
      <c r="D165" s="33" t="s">
        <v>161</v>
      </c>
      <c r="E165" s="33" t="s">
        <v>162</v>
      </c>
      <c r="F165" s="33" t="s">
        <v>163</v>
      </c>
    </row>
    <row r="166" spans="1:6" ht="15" thickBot="1">
      <c r="A166" s="31">
        <v>3098002</v>
      </c>
      <c r="B166" s="32">
        <v>100000000</v>
      </c>
      <c r="C166" s="33" t="s">
        <v>203</v>
      </c>
      <c r="D166" s="33" t="s">
        <v>169</v>
      </c>
      <c r="E166" s="34" t="s">
        <v>170</v>
      </c>
      <c r="F166" s="33" t="s">
        <v>163</v>
      </c>
    </row>
    <row r="167" spans="1:6" ht="15" thickBot="1">
      <c r="A167" s="31">
        <v>3101600</v>
      </c>
      <c r="B167" s="32">
        <v>8000000</v>
      </c>
      <c r="C167" s="33" t="s">
        <v>221</v>
      </c>
      <c r="D167" s="33" t="s">
        <v>169</v>
      </c>
      <c r="E167" s="34" t="s">
        <v>170</v>
      </c>
      <c r="F167" s="33" t="s">
        <v>163</v>
      </c>
    </row>
    <row r="168" spans="1:6" ht="15" thickBot="1">
      <c r="A168" s="31">
        <v>3111513</v>
      </c>
      <c r="B168" s="32">
        <v>7550000</v>
      </c>
      <c r="C168" s="33" t="s">
        <v>239</v>
      </c>
      <c r="D168" s="33" t="s">
        <v>161</v>
      </c>
      <c r="E168" s="33" t="s">
        <v>162</v>
      </c>
      <c r="F168" s="33" t="s">
        <v>163</v>
      </c>
    </row>
    <row r="169" spans="1:6" ht="15" thickBot="1">
      <c r="A169" s="31">
        <v>3130278</v>
      </c>
      <c r="B169" s="32">
        <v>60000000</v>
      </c>
      <c r="C169" s="33" t="s">
        <v>240</v>
      </c>
      <c r="D169" s="33" t="s">
        <v>200</v>
      </c>
      <c r="E169" s="33" t="s">
        <v>166</v>
      </c>
      <c r="F169" s="33" t="s">
        <v>163</v>
      </c>
    </row>
    <row r="170" spans="1:6" ht="15" thickBot="1">
      <c r="A170" s="31">
        <v>3166573</v>
      </c>
      <c r="B170" s="32">
        <v>6300000</v>
      </c>
      <c r="C170" s="33" t="s">
        <v>172</v>
      </c>
      <c r="D170" s="33" t="s">
        <v>169</v>
      </c>
      <c r="E170" s="34" t="s">
        <v>170</v>
      </c>
      <c r="F170" s="33" t="s">
        <v>163</v>
      </c>
    </row>
    <row r="171" spans="1:6" ht="15" thickBot="1">
      <c r="A171" s="31">
        <v>3191268</v>
      </c>
      <c r="B171" s="32">
        <v>900000</v>
      </c>
      <c r="C171" s="33" t="s">
        <v>203</v>
      </c>
      <c r="D171" s="33" t="s">
        <v>169</v>
      </c>
      <c r="E171" s="34" t="s">
        <v>170</v>
      </c>
      <c r="F171" s="33" t="s">
        <v>167</v>
      </c>
    </row>
    <row r="172" spans="1:6" ht="15" thickBot="1">
      <c r="A172" s="31">
        <v>3193846</v>
      </c>
      <c r="B172" s="32">
        <v>91500000</v>
      </c>
      <c r="C172" s="33" t="s">
        <v>177</v>
      </c>
      <c r="D172" s="33" t="s">
        <v>161</v>
      </c>
      <c r="E172" s="33" t="s">
        <v>162</v>
      </c>
      <c r="F172" s="33" t="s">
        <v>163</v>
      </c>
    </row>
    <row r="173" spans="1:6" ht="15" thickBot="1">
      <c r="A173" s="31">
        <v>3195454</v>
      </c>
      <c r="B173" s="32">
        <v>30000</v>
      </c>
      <c r="C173" s="33" t="s">
        <v>241</v>
      </c>
      <c r="D173" s="33" t="s">
        <v>165</v>
      </c>
      <c r="E173" s="33" t="s">
        <v>166</v>
      </c>
      <c r="F173" s="33" t="s">
        <v>167</v>
      </c>
    </row>
    <row r="174" spans="1:6" ht="15" thickBot="1">
      <c r="A174" s="31">
        <v>3204109</v>
      </c>
      <c r="B174" s="32">
        <v>25000</v>
      </c>
      <c r="C174" s="33" t="s">
        <v>180</v>
      </c>
      <c r="D174" s="33" t="s">
        <v>165</v>
      </c>
      <c r="E174" s="33" t="s">
        <v>166</v>
      </c>
      <c r="F174" s="33" t="s">
        <v>167</v>
      </c>
    </row>
    <row r="175" spans="1:6" ht="15" thickBot="1">
      <c r="A175" s="31">
        <v>3217881</v>
      </c>
      <c r="B175" s="32">
        <v>1250000000</v>
      </c>
      <c r="C175" s="33" t="s">
        <v>182</v>
      </c>
      <c r="D175" s="33" t="s">
        <v>174</v>
      </c>
      <c r="E175" s="33" t="s">
        <v>166</v>
      </c>
      <c r="F175" s="33" t="s">
        <v>163</v>
      </c>
    </row>
    <row r="176" spans="1:6" ht="15" thickBot="1">
      <c r="A176" s="31">
        <v>3222456</v>
      </c>
      <c r="B176" s="32">
        <v>42500000</v>
      </c>
      <c r="C176" s="33" t="s">
        <v>242</v>
      </c>
      <c r="D176" s="33" t="s">
        <v>174</v>
      </c>
      <c r="E176" s="33" t="s">
        <v>166</v>
      </c>
      <c r="F176" s="33" t="s">
        <v>163</v>
      </c>
    </row>
    <row r="177" spans="1:6" ht="29" thickBot="1">
      <c r="A177" s="31">
        <v>3242351</v>
      </c>
      <c r="B177" s="32">
        <v>66500000</v>
      </c>
      <c r="C177" s="33" t="s">
        <v>237</v>
      </c>
      <c r="D177" s="33" t="s">
        <v>174</v>
      </c>
      <c r="E177" s="33" t="s">
        <v>166</v>
      </c>
      <c r="F177" s="33" t="s">
        <v>163</v>
      </c>
    </row>
    <row r="178" spans="1:6" ht="15" thickBot="1">
      <c r="A178" s="31">
        <v>3277952</v>
      </c>
      <c r="B178" s="32">
        <v>12000000</v>
      </c>
      <c r="C178" s="33" t="s">
        <v>243</v>
      </c>
      <c r="D178" s="33" t="s">
        <v>174</v>
      </c>
      <c r="E178" s="33" t="s">
        <v>166</v>
      </c>
      <c r="F178" s="33" t="s">
        <v>163</v>
      </c>
    </row>
    <row r="179" spans="1:6" ht="15" thickBot="1">
      <c r="A179" s="31">
        <v>3285142</v>
      </c>
      <c r="B179" s="32">
        <v>220000000</v>
      </c>
      <c r="C179" s="33" t="s">
        <v>191</v>
      </c>
      <c r="D179" s="33" t="s">
        <v>169</v>
      </c>
      <c r="E179" s="34" t="s">
        <v>170</v>
      </c>
      <c r="F179" s="33" t="s">
        <v>163</v>
      </c>
    </row>
    <row r="180" spans="1:6" ht="15" thickBot="1">
      <c r="A180" s="31">
        <v>3285166</v>
      </c>
      <c r="B180" s="32">
        <v>8000</v>
      </c>
      <c r="C180" s="33" t="s">
        <v>196</v>
      </c>
      <c r="D180" s="33" t="s">
        <v>161</v>
      </c>
      <c r="E180" s="33" t="s">
        <v>162</v>
      </c>
      <c r="F180" s="33" t="s">
        <v>167</v>
      </c>
    </row>
    <row r="181" spans="1:6" ht="15" thickBot="1">
      <c r="A181" s="31">
        <v>3289477</v>
      </c>
      <c r="B181" s="32">
        <v>8000</v>
      </c>
      <c r="C181" s="33" t="s">
        <v>196</v>
      </c>
      <c r="D181" s="33" t="s">
        <v>161</v>
      </c>
      <c r="E181" s="33" t="s">
        <v>162</v>
      </c>
      <c r="F181" s="33" t="s">
        <v>167</v>
      </c>
    </row>
    <row r="182" spans="1:6" ht="15" thickBot="1">
      <c r="A182" s="31">
        <v>3292607</v>
      </c>
      <c r="B182" s="32">
        <v>40000000</v>
      </c>
      <c r="C182" s="33" t="s">
        <v>194</v>
      </c>
      <c r="D182" s="33" t="s">
        <v>174</v>
      </c>
      <c r="E182" s="33" t="s">
        <v>166</v>
      </c>
      <c r="F182" s="33" t="s">
        <v>163</v>
      </c>
    </row>
    <row r="183" spans="1:6" ht="15" thickBot="1">
      <c r="A183" s="31">
        <v>3293438</v>
      </c>
      <c r="B183" s="32">
        <v>25000000</v>
      </c>
      <c r="C183" s="33" t="s">
        <v>226</v>
      </c>
      <c r="D183" s="33" t="s">
        <v>165</v>
      </c>
      <c r="E183" s="33" t="s">
        <v>166</v>
      </c>
      <c r="F183" s="33" t="s">
        <v>163</v>
      </c>
    </row>
    <row r="184" spans="1:6" ht="15" thickBot="1">
      <c r="A184" s="31">
        <v>3298698</v>
      </c>
      <c r="B184" s="32">
        <v>50000</v>
      </c>
      <c r="C184" s="33" t="s">
        <v>225</v>
      </c>
      <c r="D184" s="33" t="s">
        <v>165</v>
      </c>
      <c r="E184" s="33" t="s">
        <v>166</v>
      </c>
      <c r="F184" s="33" t="s">
        <v>167</v>
      </c>
    </row>
    <row r="185" spans="1:6" ht="15" thickBot="1">
      <c r="A185" s="31">
        <v>3304713</v>
      </c>
      <c r="B185" s="32">
        <v>6000000</v>
      </c>
      <c r="C185" s="33" t="s">
        <v>180</v>
      </c>
      <c r="D185" s="33" t="s">
        <v>165</v>
      </c>
      <c r="E185" s="33" t="s">
        <v>166</v>
      </c>
      <c r="F185" s="33" t="s">
        <v>163</v>
      </c>
    </row>
    <row r="186" spans="1:6" ht="15" thickBot="1">
      <c r="A186" s="31">
        <v>3307273</v>
      </c>
      <c r="B186" s="32">
        <v>105000</v>
      </c>
      <c r="C186" s="33" t="s">
        <v>184</v>
      </c>
      <c r="D186" s="33" t="s">
        <v>161</v>
      </c>
      <c r="E186" s="33" t="s">
        <v>162</v>
      </c>
      <c r="F186" s="33" t="s">
        <v>167</v>
      </c>
    </row>
    <row r="187" spans="1:6" ht="15" thickBot="1">
      <c r="A187" s="31">
        <v>3310804</v>
      </c>
      <c r="B187" s="32">
        <v>4500000</v>
      </c>
      <c r="C187" s="33" t="s">
        <v>190</v>
      </c>
      <c r="D187" s="33" t="s">
        <v>169</v>
      </c>
      <c r="E187" s="34" t="s">
        <v>170</v>
      </c>
      <c r="F187" s="33" t="s">
        <v>163</v>
      </c>
    </row>
    <row r="188" spans="1:6" ht="15" thickBot="1">
      <c r="A188" s="31">
        <v>3331342</v>
      </c>
      <c r="B188" s="32">
        <v>65000</v>
      </c>
      <c r="C188" s="33" t="s">
        <v>177</v>
      </c>
      <c r="D188" s="33" t="s">
        <v>161</v>
      </c>
      <c r="E188" s="33" t="s">
        <v>162</v>
      </c>
      <c r="F188" s="33" t="s">
        <v>167</v>
      </c>
    </row>
    <row r="189" spans="1:6" ht="15" thickBot="1">
      <c r="A189" s="31">
        <v>3341826</v>
      </c>
      <c r="B189" s="32">
        <v>180000000</v>
      </c>
      <c r="C189" s="33" t="s">
        <v>182</v>
      </c>
      <c r="D189" s="33" t="s">
        <v>174</v>
      </c>
      <c r="E189" s="33" t="s">
        <v>166</v>
      </c>
      <c r="F189" s="33" t="s">
        <v>163</v>
      </c>
    </row>
    <row r="190" spans="1:6" ht="15" thickBot="1">
      <c r="A190" s="31">
        <v>3347676</v>
      </c>
      <c r="B190" s="32">
        <v>200000</v>
      </c>
      <c r="C190" s="33" t="s">
        <v>203</v>
      </c>
      <c r="D190" s="33" t="s">
        <v>169</v>
      </c>
      <c r="E190" s="34" t="s">
        <v>170</v>
      </c>
      <c r="F190" s="33" t="s">
        <v>167</v>
      </c>
    </row>
    <row r="191" spans="1:6" ht="15" thickBot="1">
      <c r="A191" s="31">
        <v>3349054</v>
      </c>
      <c r="B191" s="32">
        <v>265000</v>
      </c>
      <c r="C191" s="33" t="s">
        <v>172</v>
      </c>
      <c r="D191" s="33" t="s">
        <v>169</v>
      </c>
      <c r="E191" s="34" t="s">
        <v>170</v>
      </c>
      <c r="F191" s="33" t="s">
        <v>167</v>
      </c>
    </row>
    <row r="192" spans="1:6" ht="15" thickBot="1">
      <c r="A192" s="31">
        <v>3362150</v>
      </c>
      <c r="B192" s="32">
        <v>23800000</v>
      </c>
      <c r="C192" s="33" t="s">
        <v>226</v>
      </c>
      <c r="D192" s="33" t="s">
        <v>165</v>
      </c>
      <c r="E192" s="33" t="s">
        <v>166</v>
      </c>
      <c r="F192" s="33" t="s">
        <v>163</v>
      </c>
    </row>
    <row r="193" spans="1:6" ht="15" thickBot="1">
      <c r="A193" s="31">
        <v>3362151</v>
      </c>
      <c r="B193" s="32">
        <v>28000000</v>
      </c>
      <c r="C193" s="33" t="s">
        <v>244</v>
      </c>
      <c r="D193" s="33" t="s">
        <v>165</v>
      </c>
      <c r="E193" s="33" t="s">
        <v>166</v>
      </c>
      <c r="F193" s="33" t="s">
        <v>163</v>
      </c>
    </row>
    <row r="194" spans="1:6" ht="15" thickBot="1">
      <c r="A194" s="31">
        <v>3362683</v>
      </c>
      <c r="B194" s="32">
        <v>48000</v>
      </c>
      <c r="C194" s="33" t="s">
        <v>225</v>
      </c>
      <c r="D194" s="33" t="s">
        <v>165</v>
      </c>
      <c r="E194" s="33" t="s">
        <v>166</v>
      </c>
      <c r="F194" s="33" t="s">
        <v>167</v>
      </c>
    </row>
    <row r="195" spans="1:6" ht="15" thickBot="1">
      <c r="A195" s="31">
        <v>3371338</v>
      </c>
      <c r="B195" s="32">
        <v>12500000</v>
      </c>
      <c r="C195" s="33" t="s">
        <v>245</v>
      </c>
      <c r="D195" s="33" t="s">
        <v>169</v>
      </c>
      <c r="E195" s="34" t="s">
        <v>170</v>
      </c>
      <c r="F195" s="33" t="s">
        <v>163</v>
      </c>
    </row>
    <row r="196" spans="1:6" ht="15" thickBot="1">
      <c r="A196" s="31">
        <v>3395976</v>
      </c>
      <c r="B196" s="32">
        <v>5300000</v>
      </c>
      <c r="C196" s="33" t="s">
        <v>246</v>
      </c>
      <c r="D196" s="33" t="s">
        <v>165</v>
      </c>
      <c r="E196" s="33" t="s">
        <v>166</v>
      </c>
      <c r="F196" s="33" t="s">
        <v>163</v>
      </c>
    </row>
    <row r="197" spans="1:6" ht="15" thickBot="1">
      <c r="A197" s="31">
        <v>3431065</v>
      </c>
      <c r="B197" s="32">
        <v>4500000</v>
      </c>
      <c r="C197" s="33" t="s">
        <v>247</v>
      </c>
      <c r="D197" s="33" t="s">
        <v>161</v>
      </c>
      <c r="E197" s="33" t="s">
        <v>162</v>
      </c>
      <c r="F197" s="33" t="s">
        <v>163</v>
      </c>
    </row>
    <row r="198" spans="1:6" ht="15" thickBot="1">
      <c r="A198" s="31">
        <v>3442797</v>
      </c>
      <c r="B198" s="32">
        <v>17000000</v>
      </c>
      <c r="C198" s="33" t="s">
        <v>248</v>
      </c>
      <c r="D198" s="33" t="s">
        <v>174</v>
      </c>
      <c r="E198" s="33" t="s">
        <v>166</v>
      </c>
      <c r="F198" s="33" t="s">
        <v>163</v>
      </c>
    </row>
    <row r="199" spans="1:6" ht="15" thickBot="1">
      <c r="A199" s="31">
        <v>3463063</v>
      </c>
      <c r="B199" s="32">
        <v>47500000</v>
      </c>
      <c r="C199" s="33" t="s">
        <v>194</v>
      </c>
      <c r="D199" s="33" t="s">
        <v>174</v>
      </c>
      <c r="E199" s="33" t="s">
        <v>166</v>
      </c>
      <c r="F199" s="33" t="s">
        <v>163</v>
      </c>
    </row>
    <row r="200" spans="1:6" ht="15" thickBot="1">
      <c r="A200" s="31">
        <v>3472517</v>
      </c>
      <c r="B200" s="32">
        <v>250000</v>
      </c>
      <c r="C200" s="33" t="s">
        <v>249</v>
      </c>
      <c r="D200" s="33" t="s">
        <v>200</v>
      </c>
      <c r="E200" s="33" t="s">
        <v>166</v>
      </c>
      <c r="F200" s="33" t="s">
        <v>167</v>
      </c>
    </row>
    <row r="201" spans="1:6" ht="15" thickBot="1">
      <c r="A201" s="31">
        <v>3478944</v>
      </c>
      <c r="B201" s="32">
        <v>6900000</v>
      </c>
      <c r="C201" s="33" t="s">
        <v>211</v>
      </c>
      <c r="D201" s="33" t="s">
        <v>161</v>
      </c>
      <c r="E201" s="33" t="s">
        <v>162</v>
      </c>
      <c r="F201" s="33" t="s">
        <v>163</v>
      </c>
    </row>
    <row r="202" spans="1:6" ht="15" thickBot="1">
      <c r="A202" s="31">
        <v>3489605</v>
      </c>
      <c r="B202" s="32">
        <v>33000</v>
      </c>
      <c r="C202" s="33" t="s">
        <v>225</v>
      </c>
      <c r="D202" s="33" t="s">
        <v>165</v>
      </c>
      <c r="E202" s="33" t="s">
        <v>166</v>
      </c>
      <c r="F202" s="33" t="s">
        <v>167</v>
      </c>
    </row>
    <row r="203" spans="1:6" ht="15" thickBot="1">
      <c r="A203" s="31">
        <v>3493723</v>
      </c>
      <c r="B203" s="32">
        <v>4500000</v>
      </c>
      <c r="C203" s="33" t="s">
        <v>171</v>
      </c>
      <c r="D203" s="33" t="s">
        <v>161</v>
      </c>
      <c r="E203" s="33" t="s">
        <v>162</v>
      </c>
      <c r="F203" s="33" t="s">
        <v>163</v>
      </c>
    </row>
    <row r="204" spans="1:6" ht="15" thickBot="1">
      <c r="A204" s="31">
        <v>3504704</v>
      </c>
      <c r="B204" s="32">
        <v>19900000</v>
      </c>
      <c r="C204" s="33" t="s">
        <v>250</v>
      </c>
      <c r="D204" s="33" t="s">
        <v>165</v>
      </c>
      <c r="E204" s="33" t="s">
        <v>166</v>
      </c>
      <c r="F204" s="33" t="s">
        <v>163</v>
      </c>
    </row>
    <row r="205" spans="1:6" ht="15" thickBot="1">
      <c r="A205" s="31">
        <v>3507838</v>
      </c>
      <c r="B205" s="32">
        <v>17000000</v>
      </c>
      <c r="C205" s="33" t="s">
        <v>251</v>
      </c>
      <c r="D205" s="33" t="s">
        <v>174</v>
      </c>
      <c r="E205" s="33" t="s">
        <v>166</v>
      </c>
      <c r="F205" s="33" t="s">
        <v>163</v>
      </c>
    </row>
    <row r="206" spans="1:6" ht="15" thickBot="1">
      <c r="A206" s="31">
        <v>3510354</v>
      </c>
      <c r="B206" s="32">
        <v>20000000</v>
      </c>
      <c r="C206" s="33" t="s">
        <v>196</v>
      </c>
      <c r="D206" s="33" t="s">
        <v>161</v>
      </c>
      <c r="E206" s="33" t="s">
        <v>162</v>
      </c>
      <c r="F206" s="33" t="s">
        <v>163</v>
      </c>
    </row>
    <row r="207" spans="1:6" ht="15" thickBot="1">
      <c r="A207" s="31">
        <v>3516080</v>
      </c>
      <c r="B207" s="32">
        <v>150000</v>
      </c>
      <c r="C207" s="33" t="s">
        <v>196</v>
      </c>
      <c r="D207" s="33" t="s">
        <v>161</v>
      </c>
      <c r="E207" s="33" t="s">
        <v>162</v>
      </c>
      <c r="F207" s="33" t="s">
        <v>167</v>
      </c>
    </row>
    <row r="208" spans="1:6" ht="15" thickBot="1">
      <c r="A208" s="31">
        <v>3516247</v>
      </c>
      <c r="B208" s="32">
        <v>72500000</v>
      </c>
      <c r="C208" s="33" t="s">
        <v>196</v>
      </c>
      <c r="D208" s="33" t="s">
        <v>161</v>
      </c>
      <c r="E208" s="33" t="s">
        <v>162</v>
      </c>
      <c r="F208" s="33" t="s">
        <v>163</v>
      </c>
    </row>
    <row r="209" spans="1:6" ht="15" thickBot="1">
      <c r="A209" s="31">
        <v>3530822</v>
      </c>
      <c r="B209" s="32">
        <v>47000</v>
      </c>
      <c r="C209" s="33" t="s">
        <v>225</v>
      </c>
      <c r="D209" s="33" t="s">
        <v>165</v>
      </c>
      <c r="E209" s="33" t="s">
        <v>166</v>
      </c>
      <c r="F209" s="33" t="s">
        <v>167</v>
      </c>
    </row>
    <row r="210" spans="1:6" ht="15" thickBot="1">
      <c r="A210" s="31">
        <v>3531574</v>
      </c>
      <c r="B210" s="32">
        <v>85000000</v>
      </c>
      <c r="C210" s="33" t="s">
        <v>196</v>
      </c>
      <c r="D210" s="33" t="s">
        <v>161</v>
      </c>
      <c r="E210" s="33" t="s">
        <v>162</v>
      </c>
      <c r="F210" s="33" t="s">
        <v>163</v>
      </c>
    </row>
    <row r="211" spans="1:6" ht="15" thickBot="1">
      <c r="A211" s="31">
        <v>3534293</v>
      </c>
      <c r="B211" s="32">
        <v>15000000</v>
      </c>
      <c r="C211" s="33" t="s">
        <v>226</v>
      </c>
      <c r="D211" s="33" t="s">
        <v>165</v>
      </c>
      <c r="E211" s="33" t="s">
        <v>166</v>
      </c>
      <c r="F211" s="33" t="s">
        <v>163</v>
      </c>
    </row>
    <row r="212" spans="1:6" ht="15" thickBot="1">
      <c r="A212" s="31">
        <v>3541183</v>
      </c>
      <c r="B212" s="32">
        <v>25000000</v>
      </c>
      <c r="C212" s="33" t="s">
        <v>252</v>
      </c>
      <c r="D212" s="33" t="s">
        <v>174</v>
      </c>
      <c r="E212" s="33" t="s">
        <v>166</v>
      </c>
      <c r="F212" s="33" t="s">
        <v>163</v>
      </c>
    </row>
    <row r="213" spans="1:6" ht="15" thickBot="1">
      <c r="A213" s="31">
        <v>3541894</v>
      </c>
      <c r="B213" s="32">
        <v>18000000</v>
      </c>
      <c r="C213" s="33" t="s">
        <v>225</v>
      </c>
      <c r="D213" s="33" t="s">
        <v>165</v>
      </c>
      <c r="E213" s="33" t="s">
        <v>166</v>
      </c>
      <c r="F213" s="33" t="s">
        <v>163</v>
      </c>
    </row>
    <row r="214" spans="1:6" ht="15" thickBot="1">
      <c r="A214" s="31">
        <v>3542097</v>
      </c>
      <c r="B214" s="32">
        <v>24500000</v>
      </c>
      <c r="C214" s="33" t="s">
        <v>226</v>
      </c>
      <c r="D214" s="33" t="s">
        <v>165</v>
      </c>
      <c r="E214" s="33" t="s">
        <v>166</v>
      </c>
      <c r="F214" s="33" t="s">
        <v>163</v>
      </c>
    </row>
    <row r="215" spans="1:6" ht="15" thickBot="1">
      <c r="A215" s="31">
        <v>3542098</v>
      </c>
      <c r="B215" s="32">
        <v>55000</v>
      </c>
      <c r="C215" s="33" t="s">
        <v>226</v>
      </c>
      <c r="D215" s="33" t="s">
        <v>165</v>
      </c>
      <c r="E215" s="33" t="s">
        <v>166</v>
      </c>
      <c r="F215" s="33" t="s">
        <v>167</v>
      </c>
    </row>
    <row r="216" spans="1:6" ht="15" thickBot="1">
      <c r="A216" s="31">
        <v>3542099</v>
      </c>
      <c r="B216" s="32">
        <v>60000</v>
      </c>
      <c r="C216" s="33" t="s">
        <v>226</v>
      </c>
      <c r="D216" s="33" t="s">
        <v>165</v>
      </c>
      <c r="E216" s="33" t="s">
        <v>166</v>
      </c>
      <c r="F216" s="33" t="s">
        <v>167</v>
      </c>
    </row>
    <row r="217" spans="1:6" ht="15" thickBot="1">
      <c r="A217" s="31">
        <v>3548408</v>
      </c>
      <c r="B217" s="32">
        <v>60000000</v>
      </c>
      <c r="C217" s="33" t="s">
        <v>196</v>
      </c>
      <c r="D217" s="33" t="s">
        <v>161</v>
      </c>
      <c r="E217" s="33" t="s">
        <v>162</v>
      </c>
      <c r="F217" s="33" t="s">
        <v>163</v>
      </c>
    </row>
    <row r="218" spans="1:6" ht="15" thickBot="1">
      <c r="A218" s="31">
        <v>3548450</v>
      </c>
      <c r="B218" s="32">
        <v>120000000</v>
      </c>
      <c r="C218" s="33" t="s">
        <v>196</v>
      </c>
      <c r="D218" s="33" t="s">
        <v>161</v>
      </c>
      <c r="E218" s="33" t="s">
        <v>162</v>
      </c>
      <c r="F218" s="33" t="s">
        <v>163</v>
      </c>
    </row>
    <row r="219" spans="1:6" ht="15" thickBot="1">
      <c r="A219" s="31">
        <v>3560427</v>
      </c>
      <c r="B219" s="32">
        <v>27000000</v>
      </c>
      <c r="C219" s="33" t="s">
        <v>226</v>
      </c>
      <c r="D219" s="33" t="s">
        <v>165</v>
      </c>
      <c r="E219" s="33" t="s">
        <v>166</v>
      </c>
      <c r="F219" s="33" t="s">
        <v>163</v>
      </c>
    </row>
    <row r="220" spans="1:6" ht="15" thickBot="1">
      <c r="A220" s="31">
        <v>3560428</v>
      </c>
      <c r="B220" s="32">
        <v>18000000</v>
      </c>
      <c r="C220" s="33" t="s">
        <v>226</v>
      </c>
      <c r="D220" s="33" t="s">
        <v>165</v>
      </c>
      <c r="E220" s="33" t="s">
        <v>166</v>
      </c>
      <c r="F220" s="33" t="s">
        <v>163</v>
      </c>
    </row>
    <row r="221" spans="1:6" ht="15" thickBot="1">
      <c r="A221" s="31">
        <v>3563685</v>
      </c>
      <c r="B221" s="32">
        <v>55000</v>
      </c>
      <c r="C221" s="33" t="s">
        <v>226</v>
      </c>
      <c r="D221" s="33" t="s">
        <v>165</v>
      </c>
      <c r="E221" s="33" t="s">
        <v>166</v>
      </c>
      <c r="F221" s="33" t="s">
        <v>167</v>
      </c>
    </row>
    <row r="222" spans="1:6" ht="15" thickBot="1">
      <c r="A222" s="31">
        <v>3577153</v>
      </c>
      <c r="B222" s="32">
        <v>60000</v>
      </c>
      <c r="C222" s="33" t="s">
        <v>253</v>
      </c>
      <c r="D222" s="33" t="s">
        <v>169</v>
      </c>
      <c r="E222" s="34" t="s">
        <v>170</v>
      </c>
      <c r="F222" s="33" t="s">
        <v>167</v>
      </c>
    </row>
    <row r="223" spans="1:6" ht="15" thickBot="1">
      <c r="A223" s="31">
        <v>3594284</v>
      </c>
      <c r="B223" s="32">
        <v>45000000</v>
      </c>
      <c r="C223" s="33" t="s">
        <v>177</v>
      </c>
      <c r="D223" s="33" t="s">
        <v>161</v>
      </c>
      <c r="E223" s="33" t="s">
        <v>162</v>
      </c>
      <c r="F223" s="33" t="s">
        <v>163</v>
      </c>
    </row>
    <row r="224" spans="1:6" ht="15" thickBot="1">
      <c r="A224" s="31">
        <v>3594294</v>
      </c>
      <c r="B224" s="32">
        <v>35000000</v>
      </c>
      <c r="C224" s="33" t="s">
        <v>177</v>
      </c>
      <c r="D224" s="33" t="s">
        <v>161</v>
      </c>
      <c r="E224" s="33" t="s">
        <v>162</v>
      </c>
      <c r="F224" s="33" t="s">
        <v>163</v>
      </c>
    </row>
    <row r="225" spans="1:6" ht="15" thickBot="1">
      <c r="A225" s="31">
        <v>3594297</v>
      </c>
      <c r="B225" s="32">
        <v>25000000</v>
      </c>
      <c r="C225" s="33" t="s">
        <v>177</v>
      </c>
      <c r="D225" s="33" t="s">
        <v>161</v>
      </c>
      <c r="E225" s="33" t="s">
        <v>162</v>
      </c>
      <c r="F225" s="33" t="s">
        <v>163</v>
      </c>
    </row>
    <row r="226" spans="1:6" ht="15" thickBot="1">
      <c r="A226" s="31">
        <v>3622600</v>
      </c>
      <c r="B226" s="32">
        <v>35000</v>
      </c>
      <c r="C226" s="33" t="s">
        <v>254</v>
      </c>
      <c r="D226" s="33" t="s">
        <v>165</v>
      </c>
      <c r="E226" s="33" t="s">
        <v>166</v>
      </c>
      <c r="F226" s="33" t="s">
        <v>167</v>
      </c>
    </row>
    <row r="227" spans="1:6" ht="15" thickBot="1">
      <c r="A227" s="31">
        <v>3626467</v>
      </c>
      <c r="B227" s="32">
        <v>230000000</v>
      </c>
      <c r="C227" s="33" t="s">
        <v>255</v>
      </c>
      <c r="D227" s="33" t="s">
        <v>169</v>
      </c>
      <c r="E227" s="34" t="s">
        <v>170</v>
      </c>
      <c r="F227" s="33" t="s">
        <v>163</v>
      </c>
    </row>
    <row r="228" spans="1:6" ht="15" thickBot="1">
      <c r="A228" s="31">
        <v>3631009</v>
      </c>
      <c r="B228" s="32">
        <v>58000</v>
      </c>
      <c r="C228" s="33" t="s">
        <v>225</v>
      </c>
      <c r="D228" s="33" t="s">
        <v>165</v>
      </c>
      <c r="E228" s="33" t="s">
        <v>166</v>
      </c>
      <c r="F228" s="33" t="s">
        <v>167</v>
      </c>
    </row>
    <row r="229" spans="1:6" ht="15" thickBot="1">
      <c r="A229" s="31">
        <v>3631010</v>
      </c>
      <c r="B229" s="32">
        <v>55000</v>
      </c>
      <c r="C229" s="33" t="s">
        <v>225</v>
      </c>
      <c r="D229" s="33" t="s">
        <v>165</v>
      </c>
      <c r="E229" s="33" t="s">
        <v>166</v>
      </c>
      <c r="F229" s="33" t="s">
        <v>167</v>
      </c>
    </row>
    <row r="230" spans="1:6" ht="15" thickBot="1">
      <c r="A230" s="31">
        <v>3631014</v>
      </c>
      <c r="B230" s="32">
        <v>65000</v>
      </c>
      <c r="C230" s="33" t="s">
        <v>226</v>
      </c>
      <c r="D230" s="33" t="s">
        <v>165</v>
      </c>
      <c r="E230" s="33" t="s">
        <v>166</v>
      </c>
      <c r="F230" s="33" t="s">
        <v>167</v>
      </c>
    </row>
    <row r="231" spans="1:6" ht="15" thickBot="1">
      <c r="A231" s="31">
        <v>3631228</v>
      </c>
      <c r="B231" s="32">
        <v>10500000</v>
      </c>
      <c r="C231" s="33" t="s">
        <v>254</v>
      </c>
      <c r="D231" s="33" t="s">
        <v>165</v>
      </c>
      <c r="E231" s="33" t="s">
        <v>166</v>
      </c>
      <c r="F231" s="33" t="s">
        <v>163</v>
      </c>
    </row>
    <row r="232" spans="1:6" ht="15" thickBot="1">
      <c r="A232" s="31">
        <v>3648990</v>
      </c>
      <c r="B232" s="32">
        <v>25000000</v>
      </c>
      <c r="C232" s="33" t="s">
        <v>244</v>
      </c>
      <c r="D232" s="33" t="s">
        <v>165</v>
      </c>
      <c r="E232" s="33" t="s">
        <v>166</v>
      </c>
      <c r="F232" s="33" t="s">
        <v>163</v>
      </c>
    </row>
    <row r="233" spans="1:6" ht="15" thickBot="1">
      <c r="A233" s="31">
        <v>3669806</v>
      </c>
      <c r="B233" s="32">
        <v>30500000</v>
      </c>
      <c r="C233" s="33" t="s">
        <v>177</v>
      </c>
      <c r="D233" s="33" t="s">
        <v>161</v>
      </c>
      <c r="E233" s="33" t="s">
        <v>162</v>
      </c>
      <c r="F233" s="33" t="s">
        <v>163</v>
      </c>
    </row>
    <row r="234" spans="1:6" ht="15" thickBot="1">
      <c r="A234" s="31">
        <v>3672356</v>
      </c>
      <c r="B234" s="32">
        <v>100000000</v>
      </c>
      <c r="C234" s="33" t="s">
        <v>196</v>
      </c>
      <c r="D234" s="33" t="s">
        <v>161</v>
      </c>
      <c r="E234" s="33" t="s">
        <v>162</v>
      </c>
      <c r="F234" s="33" t="s">
        <v>163</v>
      </c>
    </row>
    <row r="235" spans="1:6" ht="15" thickBot="1">
      <c r="A235" s="31">
        <v>3685638</v>
      </c>
      <c r="B235" s="32">
        <v>48000</v>
      </c>
      <c r="C235" s="33" t="s">
        <v>254</v>
      </c>
      <c r="D235" s="33" t="s">
        <v>165</v>
      </c>
      <c r="E235" s="33" t="s">
        <v>166</v>
      </c>
      <c r="F235" s="33" t="s">
        <v>167</v>
      </c>
    </row>
    <row r="236" spans="1:6" ht="15" thickBot="1">
      <c r="A236" s="31">
        <v>3699808</v>
      </c>
      <c r="B236" s="32">
        <v>29500</v>
      </c>
      <c r="C236" s="33" t="s">
        <v>180</v>
      </c>
      <c r="D236" s="33" t="s">
        <v>165</v>
      </c>
      <c r="E236" s="33" t="s">
        <v>166</v>
      </c>
      <c r="F236" s="33" t="s">
        <v>167</v>
      </c>
    </row>
    <row r="237" spans="1:6" ht="15" thickBot="1">
      <c r="A237" s="31">
        <v>3719655</v>
      </c>
      <c r="B237" s="32">
        <v>38800000</v>
      </c>
      <c r="C237" s="33" t="s">
        <v>256</v>
      </c>
      <c r="D237" s="33" t="s">
        <v>169</v>
      </c>
      <c r="E237" s="34" t="s">
        <v>170</v>
      </c>
      <c r="F237" s="33" t="s">
        <v>163</v>
      </c>
    </row>
    <row r="238" spans="1:6" ht="15" thickBot="1">
      <c r="A238" s="31">
        <v>3728542</v>
      </c>
      <c r="B238" s="32">
        <v>2500000</v>
      </c>
      <c r="C238" s="33" t="s">
        <v>257</v>
      </c>
      <c r="D238" s="33" t="s">
        <v>169</v>
      </c>
      <c r="E238" s="34" t="s">
        <v>170</v>
      </c>
      <c r="F238" s="33" t="s">
        <v>163</v>
      </c>
    </row>
    <row r="239" spans="1:6" ht="15" thickBot="1">
      <c r="A239" s="31">
        <v>3831973</v>
      </c>
      <c r="B239" s="32">
        <v>60000</v>
      </c>
      <c r="C239" s="33" t="s">
        <v>226</v>
      </c>
      <c r="D239" s="33" t="s">
        <v>165</v>
      </c>
      <c r="E239" s="33" t="s">
        <v>166</v>
      </c>
      <c r="F239" s="33" t="s">
        <v>167</v>
      </c>
    </row>
    <row r="240" spans="1:6" ht="15" thickBot="1">
      <c r="A240" s="31">
        <v>3832121</v>
      </c>
      <c r="B240" s="32">
        <v>70000</v>
      </c>
      <c r="C240" s="33" t="s">
        <v>244</v>
      </c>
      <c r="D240" s="33" t="s">
        <v>165</v>
      </c>
      <c r="E240" s="33" t="s">
        <v>166</v>
      </c>
      <c r="F240" s="33" t="s">
        <v>167</v>
      </c>
    </row>
    <row r="241" spans="1:6" ht="15" thickBot="1">
      <c r="A241" s="31">
        <v>3832181</v>
      </c>
      <c r="B241" s="32">
        <v>65000</v>
      </c>
      <c r="C241" s="33" t="s">
        <v>226</v>
      </c>
      <c r="D241" s="33" t="s">
        <v>165</v>
      </c>
      <c r="E241" s="33" t="s">
        <v>166</v>
      </c>
      <c r="F241" s="33" t="s">
        <v>167</v>
      </c>
    </row>
    <row r="242" spans="1:6" ht="15" thickBot="1">
      <c r="A242" s="31">
        <v>3892035</v>
      </c>
      <c r="B242" s="32">
        <v>17600000</v>
      </c>
      <c r="C242" s="33" t="s">
        <v>204</v>
      </c>
      <c r="D242" s="33" t="s">
        <v>174</v>
      </c>
      <c r="E242" s="33" t="s">
        <v>166</v>
      </c>
      <c r="F242" s="33" t="s">
        <v>163</v>
      </c>
    </row>
    <row r="243" spans="1:6" ht="15" thickBot="1">
      <c r="A243" s="31">
        <v>3892037</v>
      </c>
      <c r="B243" s="32">
        <v>17500000</v>
      </c>
      <c r="C243" s="33" t="s">
        <v>204</v>
      </c>
      <c r="D243" s="33" t="s">
        <v>174</v>
      </c>
      <c r="E243" s="33" t="s">
        <v>166</v>
      </c>
      <c r="F243" s="33" t="s">
        <v>163</v>
      </c>
    </row>
    <row r="244" spans="1:6" ht="15" thickBot="1">
      <c r="A244" s="31">
        <v>3931877</v>
      </c>
      <c r="B244" s="32">
        <v>35000000</v>
      </c>
      <c r="C244" s="33" t="s">
        <v>206</v>
      </c>
      <c r="D244" s="33" t="s">
        <v>174</v>
      </c>
      <c r="E244" s="33" t="s">
        <v>166</v>
      </c>
      <c r="F244" s="33" t="s">
        <v>163</v>
      </c>
    </row>
    <row r="245" spans="1:6" ht="15" thickBot="1">
      <c r="A245" s="31">
        <v>3931998</v>
      </c>
      <c r="B245" s="32">
        <v>22000000</v>
      </c>
      <c r="C245" s="33" t="s">
        <v>206</v>
      </c>
      <c r="D245" s="33" t="s">
        <v>174</v>
      </c>
      <c r="E245" s="33" t="s">
        <v>166</v>
      </c>
      <c r="F245" s="33" t="s">
        <v>163</v>
      </c>
    </row>
    <row r="246" spans="1:6" ht="15" thickBot="1">
      <c r="A246" s="31">
        <v>3932053</v>
      </c>
      <c r="B246" s="32">
        <v>23500000</v>
      </c>
      <c r="C246" s="33" t="s">
        <v>206</v>
      </c>
      <c r="D246" s="33" t="s">
        <v>174</v>
      </c>
      <c r="E246" s="33" t="s">
        <v>166</v>
      </c>
      <c r="F246" s="33" t="s">
        <v>163</v>
      </c>
    </row>
    <row r="247" spans="1:6" ht="15" thickBot="1">
      <c r="A247" s="31">
        <v>3932098</v>
      </c>
      <c r="B247" s="32">
        <v>41500000</v>
      </c>
      <c r="C247" s="33" t="s">
        <v>206</v>
      </c>
      <c r="D247" s="33" t="s">
        <v>174</v>
      </c>
      <c r="E247" s="33" t="s">
        <v>166</v>
      </c>
      <c r="F247" s="33" t="s">
        <v>163</v>
      </c>
    </row>
    <row r="248" spans="1:6" ht="15" thickBot="1">
      <c r="A248" s="31">
        <v>3932130</v>
      </c>
      <c r="B248" s="32">
        <v>23000000</v>
      </c>
      <c r="C248" s="33" t="s">
        <v>206</v>
      </c>
      <c r="D248" s="33" t="s">
        <v>174</v>
      </c>
      <c r="E248" s="33" t="s">
        <v>166</v>
      </c>
      <c r="F248" s="33" t="s">
        <v>163</v>
      </c>
    </row>
    <row r="249" spans="1:6" ht="15" thickBot="1">
      <c r="A249" s="31">
        <v>3932163</v>
      </c>
      <c r="B249" s="32">
        <v>23000000</v>
      </c>
      <c r="C249" s="33" t="s">
        <v>206</v>
      </c>
      <c r="D249" s="33" t="s">
        <v>174</v>
      </c>
      <c r="E249" s="33" t="s">
        <v>166</v>
      </c>
      <c r="F249" s="33" t="s">
        <v>163</v>
      </c>
    </row>
    <row r="250" spans="1:6" ht="15" thickBot="1">
      <c r="A250" s="31">
        <v>3932175</v>
      </c>
      <c r="B250" s="32">
        <v>20500000</v>
      </c>
      <c r="C250" s="33" t="s">
        <v>206</v>
      </c>
      <c r="D250" s="33" t="s">
        <v>174</v>
      </c>
      <c r="E250" s="33" t="s">
        <v>166</v>
      </c>
      <c r="F250" s="33" t="s">
        <v>163</v>
      </c>
    </row>
    <row r="251" spans="1:6" ht="15" thickBot="1">
      <c r="A251" s="31">
        <v>3932182</v>
      </c>
      <c r="B251" s="32">
        <v>21000000</v>
      </c>
      <c r="C251" s="33" t="s">
        <v>206</v>
      </c>
      <c r="D251" s="33" t="s">
        <v>174</v>
      </c>
      <c r="E251" s="33" t="s">
        <v>166</v>
      </c>
      <c r="F251" s="33" t="s">
        <v>163</v>
      </c>
    </row>
    <row r="252" spans="1:6" ht="15" thickBot="1">
      <c r="A252" s="31">
        <v>3933565</v>
      </c>
      <c r="B252" s="32">
        <v>15500000</v>
      </c>
      <c r="C252" s="33" t="s">
        <v>177</v>
      </c>
      <c r="D252" s="33" t="s">
        <v>169</v>
      </c>
      <c r="E252" s="34" t="s">
        <v>170</v>
      </c>
      <c r="F252" s="33" t="s">
        <v>163</v>
      </c>
    </row>
    <row r="253" spans="1:6" ht="15" thickBot="1">
      <c r="A253" s="31">
        <v>3944968</v>
      </c>
      <c r="B253" s="32">
        <v>45000000</v>
      </c>
      <c r="C253" s="33" t="s">
        <v>258</v>
      </c>
      <c r="D253" s="33" t="s">
        <v>165</v>
      </c>
      <c r="E253" s="33" t="s">
        <v>166</v>
      </c>
      <c r="F253" s="33" t="s">
        <v>163</v>
      </c>
    </row>
    <row r="254" spans="1:6" ht="15" thickBot="1">
      <c r="A254" s="31">
        <v>3962195</v>
      </c>
      <c r="B254" s="32">
        <v>8500000</v>
      </c>
      <c r="C254" s="33" t="s">
        <v>259</v>
      </c>
      <c r="D254" s="33" t="s">
        <v>200</v>
      </c>
      <c r="E254" s="33" t="s">
        <v>166</v>
      </c>
      <c r="F254" s="33" t="s">
        <v>163</v>
      </c>
    </row>
    <row r="255" spans="1:6" ht="29" thickBot="1">
      <c r="A255" s="31">
        <v>3965775</v>
      </c>
      <c r="B255" s="32">
        <v>19200000</v>
      </c>
      <c r="C255" s="33" t="s">
        <v>260</v>
      </c>
      <c r="D255" s="33" t="s">
        <v>174</v>
      </c>
      <c r="E255" s="33" t="s">
        <v>166</v>
      </c>
      <c r="F255" s="33" t="s">
        <v>163</v>
      </c>
    </row>
    <row r="256" spans="1:6" ht="29" thickBot="1">
      <c r="A256" s="31">
        <v>3968998</v>
      </c>
      <c r="B256" s="32">
        <v>105000000</v>
      </c>
      <c r="C256" s="33" t="s">
        <v>261</v>
      </c>
      <c r="D256" s="33" t="s">
        <v>161</v>
      </c>
      <c r="E256" s="33" t="s">
        <v>162</v>
      </c>
      <c r="F256" s="33" t="s">
        <v>163</v>
      </c>
    </row>
    <row r="257" spans="1:6" ht="15" thickBot="1">
      <c r="A257" s="31">
        <v>3977801</v>
      </c>
      <c r="B257" s="32">
        <v>7700000</v>
      </c>
      <c r="C257" s="33" t="s">
        <v>251</v>
      </c>
      <c r="D257" s="33" t="s">
        <v>174</v>
      </c>
      <c r="E257" s="33" t="s">
        <v>166</v>
      </c>
      <c r="F257" s="33" t="s">
        <v>163</v>
      </c>
    </row>
    <row r="258" spans="1:6" ht="15" thickBot="1">
      <c r="A258" s="31">
        <v>3978506</v>
      </c>
      <c r="B258" s="32">
        <v>180000</v>
      </c>
      <c r="C258" s="33" t="s">
        <v>262</v>
      </c>
      <c r="D258" s="33" t="s">
        <v>169</v>
      </c>
      <c r="E258" s="34" t="s">
        <v>170</v>
      </c>
      <c r="F258" s="33" t="s">
        <v>167</v>
      </c>
    </row>
    <row r="259" spans="1:6" ht="15" thickBot="1">
      <c r="A259" s="31">
        <v>3978578</v>
      </c>
      <c r="B259" s="32">
        <v>70000</v>
      </c>
      <c r="C259" s="33" t="s">
        <v>262</v>
      </c>
      <c r="D259" s="33" t="s">
        <v>169</v>
      </c>
      <c r="E259" s="34" t="s">
        <v>170</v>
      </c>
      <c r="F259" s="33" t="s">
        <v>167</v>
      </c>
    </row>
    <row r="260" spans="1:6" ht="15" thickBot="1">
      <c r="A260" s="31">
        <v>3978659</v>
      </c>
      <c r="B260" s="32">
        <v>85000</v>
      </c>
      <c r="C260" s="33" t="s">
        <v>262</v>
      </c>
      <c r="D260" s="33" t="s">
        <v>169</v>
      </c>
      <c r="E260" s="34" t="s">
        <v>170</v>
      </c>
      <c r="F260" s="33" t="s">
        <v>167</v>
      </c>
    </row>
    <row r="261" spans="1:6" ht="15" thickBot="1">
      <c r="A261" s="31">
        <v>3978702</v>
      </c>
      <c r="B261" s="32">
        <v>140000</v>
      </c>
      <c r="C261" s="33" t="s">
        <v>262</v>
      </c>
      <c r="D261" s="33" t="s">
        <v>169</v>
      </c>
      <c r="E261" s="34" t="s">
        <v>170</v>
      </c>
      <c r="F261" s="33" t="s">
        <v>167</v>
      </c>
    </row>
    <row r="262" spans="1:6" ht="15" thickBot="1">
      <c r="A262" s="31">
        <v>3978710</v>
      </c>
      <c r="B262" s="32">
        <v>75000</v>
      </c>
      <c r="C262" s="33" t="s">
        <v>262</v>
      </c>
      <c r="D262" s="33" t="s">
        <v>169</v>
      </c>
      <c r="E262" s="34" t="s">
        <v>170</v>
      </c>
      <c r="F262" s="33" t="s">
        <v>167</v>
      </c>
    </row>
    <row r="263" spans="1:6" ht="15" thickBot="1">
      <c r="A263" s="31">
        <v>3991627</v>
      </c>
      <c r="B263" s="32">
        <v>21500000</v>
      </c>
      <c r="C263" s="33" t="s">
        <v>177</v>
      </c>
      <c r="D263" s="33" t="s">
        <v>174</v>
      </c>
      <c r="E263" s="33" t="s">
        <v>166</v>
      </c>
      <c r="F263" s="33" t="s">
        <v>163</v>
      </c>
    </row>
    <row r="264" spans="1:6" ht="15" thickBot="1">
      <c r="A264" s="31">
        <v>3998897</v>
      </c>
      <c r="B264" s="32">
        <v>11800000</v>
      </c>
      <c r="C264" s="33" t="s">
        <v>204</v>
      </c>
      <c r="D264" s="33" t="s">
        <v>174</v>
      </c>
      <c r="E264" s="33" t="s">
        <v>166</v>
      </c>
      <c r="F264" s="33" t="s">
        <v>163</v>
      </c>
    </row>
    <row r="265" spans="1:6" ht="15" thickBot="1">
      <c r="A265" s="31">
        <v>4001761</v>
      </c>
      <c r="B265" s="32">
        <v>25000000</v>
      </c>
      <c r="C265" s="33" t="s">
        <v>263</v>
      </c>
      <c r="D265" s="33" t="s">
        <v>161</v>
      </c>
      <c r="E265" s="33" t="s">
        <v>162</v>
      </c>
      <c r="F265" s="33" t="s">
        <v>163</v>
      </c>
    </row>
    <row r="266" spans="1:6" ht="15" thickBot="1">
      <c r="A266" s="31">
        <v>4015309</v>
      </c>
      <c r="B266" s="32">
        <v>26500000</v>
      </c>
      <c r="C266" s="33" t="s">
        <v>177</v>
      </c>
      <c r="D266" s="33" t="s">
        <v>174</v>
      </c>
      <c r="E266" s="33" t="s">
        <v>166</v>
      </c>
      <c r="F266" s="33" t="s">
        <v>163</v>
      </c>
    </row>
    <row r="267" spans="1:6" ht="15" thickBot="1">
      <c r="A267" s="31">
        <v>4015520</v>
      </c>
      <c r="B267" s="32">
        <v>46500000</v>
      </c>
      <c r="C267" s="33" t="s">
        <v>264</v>
      </c>
      <c r="D267" s="33" t="s">
        <v>169</v>
      </c>
      <c r="E267" s="34" t="s">
        <v>170</v>
      </c>
      <c r="F267" s="33" t="s">
        <v>163</v>
      </c>
    </row>
    <row r="268" spans="1:6" ht="15" thickBot="1">
      <c r="A268" s="31">
        <v>4016615</v>
      </c>
      <c r="B268" s="32">
        <v>75000000</v>
      </c>
      <c r="C268" s="33" t="s">
        <v>184</v>
      </c>
      <c r="D268" s="33" t="s">
        <v>161</v>
      </c>
      <c r="E268" s="33" t="s">
        <v>162</v>
      </c>
      <c r="F268" s="33" t="s">
        <v>163</v>
      </c>
    </row>
    <row r="269" spans="1:6" ht="15" thickBot="1">
      <c r="A269" s="31">
        <v>4016954</v>
      </c>
      <c r="B269" s="32">
        <v>70000000</v>
      </c>
      <c r="C269" s="33" t="s">
        <v>177</v>
      </c>
      <c r="D269" s="33" t="s">
        <v>174</v>
      </c>
      <c r="E269" s="33" t="s">
        <v>166</v>
      </c>
      <c r="F269" s="33" t="s">
        <v>163</v>
      </c>
    </row>
    <row r="270" spans="1:6" ht="15" thickBot="1">
      <c r="A270" s="31">
        <v>4017113</v>
      </c>
      <c r="B270" s="32">
        <v>49500000</v>
      </c>
      <c r="C270" s="33" t="s">
        <v>177</v>
      </c>
      <c r="D270" s="33" t="s">
        <v>174</v>
      </c>
      <c r="E270" s="33" t="s">
        <v>166</v>
      </c>
      <c r="F270" s="33" t="s">
        <v>163</v>
      </c>
    </row>
    <row r="271" spans="1:6" ht="15" thickBot="1">
      <c r="A271" s="31">
        <v>4017728</v>
      </c>
      <c r="B271" s="32">
        <v>16000000</v>
      </c>
      <c r="C271" s="33" t="s">
        <v>254</v>
      </c>
      <c r="D271" s="33" t="s">
        <v>165</v>
      </c>
      <c r="E271" s="33" t="s">
        <v>166</v>
      </c>
      <c r="F271" s="33" t="s">
        <v>163</v>
      </c>
    </row>
    <row r="272" spans="1:6" ht="15" thickBot="1">
      <c r="A272" s="31">
        <v>4017925</v>
      </c>
      <c r="B272" s="32">
        <v>11500000</v>
      </c>
      <c r="C272" s="33" t="s">
        <v>265</v>
      </c>
      <c r="D272" s="33" t="s">
        <v>165</v>
      </c>
      <c r="E272" s="33" t="s">
        <v>166</v>
      </c>
      <c r="F272" s="33" t="s">
        <v>163</v>
      </c>
    </row>
    <row r="273" spans="1:6" ht="15" thickBot="1">
      <c r="A273" s="31">
        <v>4017933</v>
      </c>
      <c r="B273" s="32">
        <v>11500000</v>
      </c>
      <c r="C273" s="33" t="s">
        <v>266</v>
      </c>
      <c r="D273" s="33" t="s">
        <v>165</v>
      </c>
      <c r="E273" s="33" t="s">
        <v>166</v>
      </c>
      <c r="F273" s="33" t="s">
        <v>163</v>
      </c>
    </row>
    <row r="274" spans="1:6" ht="15" thickBot="1">
      <c r="A274" s="31">
        <v>4018101</v>
      </c>
      <c r="B274" s="32">
        <v>9800000</v>
      </c>
      <c r="C274" s="33" t="s">
        <v>267</v>
      </c>
      <c r="D274" s="33" t="s">
        <v>165</v>
      </c>
      <c r="E274" s="33" t="s">
        <v>166</v>
      </c>
      <c r="F274" s="33" t="s">
        <v>163</v>
      </c>
    </row>
    <row r="275" spans="1:6" ht="15" thickBot="1">
      <c r="A275" s="31">
        <v>4018105</v>
      </c>
      <c r="B275" s="32">
        <v>9800000</v>
      </c>
      <c r="C275" s="33" t="s">
        <v>268</v>
      </c>
      <c r="D275" s="33" t="s">
        <v>165</v>
      </c>
      <c r="E275" s="33" t="s">
        <v>166</v>
      </c>
      <c r="F275" s="33" t="s">
        <v>163</v>
      </c>
    </row>
    <row r="276" spans="1:6" ht="15" thickBot="1">
      <c r="A276" s="31">
        <v>4018252</v>
      </c>
      <c r="B276" s="32">
        <v>35000</v>
      </c>
      <c r="C276" s="33" t="s">
        <v>268</v>
      </c>
      <c r="D276" s="33" t="s">
        <v>165</v>
      </c>
      <c r="E276" s="33" t="s">
        <v>166</v>
      </c>
      <c r="F276" s="33" t="s">
        <v>167</v>
      </c>
    </row>
    <row r="277" spans="1:6" ht="15" thickBot="1">
      <c r="A277" s="31">
        <v>4018257</v>
      </c>
      <c r="B277" s="32">
        <v>45000</v>
      </c>
      <c r="C277" s="33" t="s">
        <v>267</v>
      </c>
      <c r="D277" s="33" t="s">
        <v>165</v>
      </c>
      <c r="E277" s="33" t="s">
        <v>166</v>
      </c>
      <c r="F277" s="33" t="s">
        <v>167</v>
      </c>
    </row>
    <row r="278" spans="1:6" ht="15" thickBot="1">
      <c r="A278" s="31">
        <v>4018358</v>
      </c>
      <c r="B278" s="32">
        <v>35000</v>
      </c>
      <c r="C278" s="33" t="s">
        <v>254</v>
      </c>
      <c r="D278" s="33" t="s">
        <v>165</v>
      </c>
      <c r="E278" s="33" t="s">
        <v>166</v>
      </c>
      <c r="F278" s="33" t="s">
        <v>167</v>
      </c>
    </row>
    <row r="279" spans="1:6" ht="15" thickBot="1">
      <c r="A279" s="31">
        <v>4034402</v>
      </c>
      <c r="B279" s="32">
        <v>12500000</v>
      </c>
      <c r="C279" s="33" t="s">
        <v>269</v>
      </c>
      <c r="D279" s="33" t="s">
        <v>174</v>
      </c>
      <c r="E279" s="33" t="s">
        <v>166</v>
      </c>
      <c r="F279" s="33" t="s">
        <v>163</v>
      </c>
    </row>
    <row r="280" spans="1:6" ht="15" thickBot="1">
      <c r="A280" s="31">
        <v>4047643</v>
      </c>
      <c r="B280" s="32">
        <v>3000000</v>
      </c>
      <c r="C280" s="33" t="s">
        <v>180</v>
      </c>
      <c r="D280" s="33" t="s">
        <v>165</v>
      </c>
      <c r="E280" s="33" t="s">
        <v>166</v>
      </c>
      <c r="F280" s="33" t="s">
        <v>163</v>
      </c>
    </row>
    <row r="281" spans="1:6" ht="15" thickBot="1">
      <c r="A281" s="31">
        <v>4100382</v>
      </c>
      <c r="B281" s="32">
        <v>36000000</v>
      </c>
      <c r="C281" s="33" t="s">
        <v>206</v>
      </c>
      <c r="D281" s="33" t="s">
        <v>174</v>
      </c>
      <c r="E281" s="33" t="s">
        <v>166</v>
      </c>
      <c r="F281" s="33" t="s">
        <v>163</v>
      </c>
    </row>
    <row r="282" spans="1:6" ht="15" thickBot="1">
      <c r="A282" s="31">
        <v>4107715</v>
      </c>
      <c r="B282" s="32">
        <v>36000000</v>
      </c>
      <c r="C282" s="33" t="s">
        <v>177</v>
      </c>
      <c r="D282" s="33" t="s">
        <v>174</v>
      </c>
      <c r="E282" s="33" t="s">
        <v>166</v>
      </c>
      <c r="F282" s="33" t="s">
        <v>163</v>
      </c>
    </row>
    <row r="283" spans="1:6" ht="15" thickBot="1">
      <c r="A283" s="31">
        <v>4111694</v>
      </c>
      <c r="B283" s="32">
        <v>51000000</v>
      </c>
      <c r="C283" s="33" t="s">
        <v>177</v>
      </c>
      <c r="D283" s="33" t="s">
        <v>174</v>
      </c>
      <c r="E283" s="33" t="s">
        <v>166</v>
      </c>
      <c r="F283" s="33" t="s">
        <v>163</v>
      </c>
    </row>
    <row r="284" spans="1:6" ht="15" thickBot="1">
      <c r="A284" s="31">
        <v>4125085</v>
      </c>
      <c r="B284" s="32">
        <v>21000000</v>
      </c>
      <c r="C284" s="33" t="s">
        <v>180</v>
      </c>
      <c r="D284" s="33" t="s">
        <v>165</v>
      </c>
      <c r="E284" s="33" t="s">
        <v>166</v>
      </c>
      <c r="F284" s="33" t="s">
        <v>163</v>
      </c>
    </row>
    <row r="285" spans="1:6" ht="29" thickBot="1">
      <c r="A285" s="31">
        <v>4153362</v>
      </c>
      <c r="B285" s="32">
        <v>35000000</v>
      </c>
      <c r="C285" s="33" t="s">
        <v>270</v>
      </c>
      <c r="D285" s="33" t="s">
        <v>165</v>
      </c>
      <c r="E285" s="33" t="s">
        <v>166</v>
      </c>
      <c r="F285" s="33" t="s">
        <v>163</v>
      </c>
    </row>
    <row r="286" spans="1:6" ht="15" thickBot="1">
      <c r="A286" s="31">
        <v>4153988</v>
      </c>
      <c r="B286" s="32">
        <v>20000000</v>
      </c>
      <c r="C286" s="33" t="s">
        <v>204</v>
      </c>
      <c r="D286" s="33" t="s">
        <v>174</v>
      </c>
      <c r="E286" s="33" t="s">
        <v>166</v>
      </c>
      <c r="F286" s="33" t="s">
        <v>163</v>
      </c>
    </row>
    <row r="287" spans="1:6" ht="15" thickBot="1">
      <c r="A287" s="31">
        <v>4154431</v>
      </c>
      <c r="B287" s="32">
        <v>250000000</v>
      </c>
      <c r="C287" s="33" t="s">
        <v>196</v>
      </c>
      <c r="D287" s="33" t="s">
        <v>161</v>
      </c>
      <c r="E287" s="33" t="s">
        <v>162</v>
      </c>
      <c r="F287" s="33" t="s">
        <v>163</v>
      </c>
    </row>
    <row r="288" spans="1:6" ht="15" thickBot="1">
      <c r="A288" s="31">
        <v>4154441</v>
      </c>
      <c r="B288" s="32">
        <v>55000000</v>
      </c>
      <c r="C288" s="33" t="s">
        <v>196</v>
      </c>
      <c r="D288" s="33" t="s">
        <v>161</v>
      </c>
      <c r="E288" s="33" t="s">
        <v>162</v>
      </c>
      <c r="F288" s="33" t="s">
        <v>163</v>
      </c>
    </row>
    <row r="289" spans="1:6" ht="15" thickBot="1">
      <c r="A289" s="31">
        <v>4159826</v>
      </c>
      <c r="B289" s="32">
        <v>6000000</v>
      </c>
      <c r="C289" s="33" t="s">
        <v>185</v>
      </c>
      <c r="D289" s="33" t="s">
        <v>174</v>
      </c>
      <c r="E289" s="33" t="s">
        <v>166</v>
      </c>
      <c r="F289" s="33" t="s">
        <v>163</v>
      </c>
    </row>
    <row r="290" spans="1:6" ht="15" thickBot="1">
      <c r="A290" s="31">
        <v>4165171</v>
      </c>
      <c r="B290" s="32">
        <v>3200000</v>
      </c>
      <c r="C290" s="33" t="s">
        <v>271</v>
      </c>
      <c r="D290" s="33" t="s">
        <v>169</v>
      </c>
      <c r="E290" s="34" t="s">
        <v>170</v>
      </c>
      <c r="F290" s="33" t="s">
        <v>163</v>
      </c>
    </row>
    <row r="291" spans="1:6" ht="15" thickBot="1">
      <c r="A291" s="31">
        <v>4170552</v>
      </c>
      <c r="B291" s="32">
        <v>5500000</v>
      </c>
      <c r="C291" s="33" t="s">
        <v>185</v>
      </c>
      <c r="D291" s="33" t="s">
        <v>174</v>
      </c>
      <c r="E291" s="33" t="s">
        <v>166</v>
      </c>
      <c r="F291" s="33" t="s">
        <v>163</v>
      </c>
    </row>
    <row r="292" spans="1:6" ht="15" thickBot="1">
      <c r="A292" s="31">
        <v>4202426</v>
      </c>
      <c r="B292" s="32">
        <v>47000</v>
      </c>
      <c r="C292" s="33" t="s">
        <v>225</v>
      </c>
      <c r="D292" s="33" t="s">
        <v>165</v>
      </c>
      <c r="E292" s="33" t="s">
        <v>166</v>
      </c>
      <c r="F292" s="33" t="s">
        <v>167</v>
      </c>
    </row>
    <row r="293" spans="1:6" ht="15" thickBot="1">
      <c r="A293" s="31">
        <v>4202428</v>
      </c>
      <c r="B293" s="32">
        <v>55000</v>
      </c>
      <c r="C293" s="33" t="s">
        <v>254</v>
      </c>
      <c r="D293" s="33" t="s">
        <v>165</v>
      </c>
      <c r="E293" s="33" t="s">
        <v>166</v>
      </c>
      <c r="F293" s="33" t="s">
        <v>167</v>
      </c>
    </row>
    <row r="294" spans="1:6" ht="15" thickBot="1">
      <c r="A294" s="31">
        <v>4202429</v>
      </c>
      <c r="B294" s="32">
        <v>35000</v>
      </c>
      <c r="C294" s="33" t="s">
        <v>225</v>
      </c>
      <c r="D294" s="33" t="s">
        <v>165</v>
      </c>
      <c r="E294" s="33" t="s">
        <v>166</v>
      </c>
      <c r="F294" s="33" t="s">
        <v>167</v>
      </c>
    </row>
    <row r="295" spans="1:6" ht="15" thickBot="1">
      <c r="A295" s="31">
        <v>4217073</v>
      </c>
      <c r="B295" s="32">
        <v>6000000</v>
      </c>
      <c r="C295" s="33" t="s">
        <v>272</v>
      </c>
      <c r="D295" s="33" t="s">
        <v>161</v>
      </c>
      <c r="E295" s="33" t="s">
        <v>162</v>
      </c>
      <c r="F295" s="33" t="s">
        <v>163</v>
      </c>
    </row>
    <row r="296" spans="1:6" ht="15" thickBot="1">
      <c r="A296" s="31">
        <v>4227904</v>
      </c>
      <c r="B296" s="32">
        <v>14000000</v>
      </c>
      <c r="C296" s="33" t="s">
        <v>271</v>
      </c>
      <c r="D296" s="33" t="s">
        <v>169</v>
      </c>
      <c r="E296" s="34" t="s">
        <v>170</v>
      </c>
      <c r="F296" s="33" t="s">
        <v>163</v>
      </c>
    </row>
    <row r="297" spans="1:6" ht="15" thickBot="1">
      <c r="A297" s="31">
        <v>4241223</v>
      </c>
      <c r="B297" s="32">
        <v>6200000</v>
      </c>
      <c r="C297" s="33" t="s">
        <v>272</v>
      </c>
      <c r="D297" s="33" t="s">
        <v>161</v>
      </c>
      <c r="E297" s="33" t="s">
        <v>162</v>
      </c>
      <c r="F297" s="33" t="s">
        <v>163</v>
      </c>
    </row>
    <row r="298" spans="1:6" ht="15" thickBot="1">
      <c r="A298" s="31">
        <v>4246235</v>
      </c>
      <c r="B298" s="32">
        <v>95000000</v>
      </c>
      <c r="C298" s="33" t="s">
        <v>160</v>
      </c>
      <c r="D298" s="33" t="s">
        <v>161</v>
      </c>
      <c r="E298" s="33" t="s">
        <v>162</v>
      </c>
      <c r="F298" s="33" t="s">
        <v>163</v>
      </c>
    </row>
    <row r="299" spans="1:6" ht="15" thickBot="1">
      <c r="A299" s="31">
        <v>4249571</v>
      </c>
      <c r="B299" s="32">
        <v>65000000</v>
      </c>
      <c r="C299" s="33" t="s">
        <v>182</v>
      </c>
      <c r="D299" s="33" t="s">
        <v>174</v>
      </c>
      <c r="E299" s="33" t="s">
        <v>166</v>
      </c>
      <c r="F299" s="33" t="s">
        <v>163</v>
      </c>
    </row>
    <row r="300" spans="1:6" ht="15" thickBot="1">
      <c r="A300" s="31">
        <v>4263606</v>
      </c>
      <c r="B300" s="32">
        <v>20000000</v>
      </c>
      <c r="C300" s="33" t="s">
        <v>272</v>
      </c>
      <c r="D300" s="33" t="s">
        <v>161</v>
      </c>
      <c r="E300" s="33" t="s">
        <v>162</v>
      </c>
      <c r="F300" s="33" t="s">
        <v>163</v>
      </c>
    </row>
    <row r="301" spans="1:6" ht="15" thickBot="1">
      <c r="A301" s="31">
        <v>4265420</v>
      </c>
      <c r="B301" s="32">
        <v>250000</v>
      </c>
      <c r="C301" s="33" t="s">
        <v>198</v>
      </c>
      <c r="D301" s="33" t="s">
        <v>169</v>
      </c>
      <c r="E301" s="34" t="s">
        <v>170</v>
      </c>
      <c r="F301" s="33" t="s">
        <v>167</v>
      </c>
    </row>
    <row r="302" spans="1:6" ht="15" thickBot="1">
      <c r="A302" s="31">
        <v>4270961</v>
      </c>
      <c r="B302" s="32">
        <v>220000</v>
      </c>
      <c r="C302" s="33" t="s">
        <v>262</v>
      </c>
      <c r="D302" s="33" t="s">
        <v>169</v>
      </c>
      <c r="E302" s="34" t="s">
        <v>170</v>
      </c>
      <c r="F302" s="33" t="s">
        <v>167</v>
      </c>
    </row>
    <row r="303" spans="1:6" ht="15" thickBot="1">
      <c r="A303" s="31">
        <v>4273721</v>
      </c>
      <c r="B303" s="32">
        <v>40000</v>
      </c>
      <c r="C303" s="33" t="s">
        <v>204</v>
      </c>
      <c r="D303" s="33" t="s">
        <v>169</v>
      </c>
      <c r="E303" s="34" t="s">
        <v>170</v>
      </c>
      <c r="F303" s="33" t="s">
        <v>167</v>
      </c>
    </row>
    <row r="304" spans="1:6" ht="15" thickBot="1">
      <c r="A304" s="31">
        <v>4295448</v>
      </c>
      <c r="B304" s="32">
        <v>80000</v>
      </c>
      <c r="C304" s="33" t="s">
        <v>262</v>
      </c>
      <c r="D304" s="33" t="s">
        <v>169</v>
      </c>
      <c r="E304" s="34" t="s">
        <v>170</v>
      </c>
      <c r="F304" s="33" t="s">
        <v>167</v>
      </c>
    </row>
    <row r="305" spans="1:6" ht="15" thickBot="1">
      <c r="A305" s="31">
        <v>4304977</v>
      </c>
      <c r="B305" s="32">
        <v>35000000</v>
      </c>
      <c r="C305" s="33" t="s">
        <v>177</v>
      </c>
      <c r="D305" s="33" t="s">
        <v>174</v>
      </c>
      <c r="E305" s="33" t="s">
        <v>166</v>
      </c>
      <c r="F305" s="33" t="s">
        <v>163</v>
      </c>
    </row>
    <row r="306" spans="1:6" ht="15" thickBot="1">
      <c r="A306" s="31">
        <v>4307496</v>
      </c>
      <c r="B306" s="32">
        <v>17500000</v>
      </c>
      <c r="C306" s="33" t="s">
        <v>204</v>
      </c>
      <c r="D306" s="33" t="s">
        <v>174</v>
      </c>
      <c r="E306" s="33" t="s">
        <v>166</v>
      </c>
      <c r="F306" s="33" t="s">
        <v>163</v>
      </c>
    </row>
    <row r="307" spans="1:6" ht="15" thickBot="1">
      <c r="A307" s="31">
        <v>4317742</v>
      </c>
      <c r="B307" s="32">
        <v>300000</v>
      </c>
      <c r="C307" s="33" t="s">
        <v>198</v>
      </c>
      <c r="D307" s="33" t="s">
        <v>169</v>
      </c>
      <c r="E307" s="34" t="s">
        <v>170</v>
      </c>
      <c r="F307" s="33" t="s">
        <v>167</v>
      </c>
    </row>
    <row r="308" spans="1:6" ht="15" thickBot="1">
      <c r="A308" s="31">
        <v>4317790</v>
      </c>
      <c r="B308" s="32">
        <v>160000</v>
      </c>
      <c r="C308" s="33" t="s">
        <v>262</v>
      </c>
      <c r="D308" s="33" t="s">
        <v>169</v>
      </c>
      <c r="E308" s="34" t="s">
        <v>170</v>
      </c>
      <c r="F308" s="33" t="s">
        <v>167</v>
      </c>
    </row>
    <row r="309" spans="1:6" ht="15" thickBot="1">
      <c r="A309" s="31">
        <v>4317806</v>
      </c>
      <c r="B309" s="32">
        <v>240000</v>
      </c>
      <c r="C309" s="33" t="s">
        <v>262</v>
      </c>
      <c r="D309" s="33" t="s">
        <v>169</v>
      </c>
      <c r="E309" s="34" t="s">
        <v>170</v>
      </c>
      <c r="F309" s="33" t="s">
        <v>167</v>
      </c>
    </row>
    <row r="310" spans="1:6" ht="15" thickBot="1">
      <c r="A310" s="31">
        <v>4317826</v>
      </c>
      <c r="B310" s="32">
        <v>280000</v>
      </c>
      <c r="C310" s="33" t="s">
        <v>262</v>
      </c>
      <c r="D310" s="33" t="s">
        <v>169</v>
      </c>
      <c r="E310" s="34" t="s">
        <v>170</v>
      </c>
      <c r="F310" s="33" t="s">
        <v>167</v>
      </c>
    </row>
    <row r="311" spans="1:6" ht="15" thickBot="1">
      <c r="A311" s="31">
        <v>4317897</v>
      </c>
      <c r="B311" s="32">
        <v>220000</v>
      </c>
      <c r="C311" s="33" t="s">
        <v>262</v>
      </c>
      <c r="D311" s="33" t="s">
        <v>169</v>
      </c>
      <c r="E311" s="34" t="s">
        <v>170</v>
      </c>
      <c r="F311" s="33" t="s">
        <v>167</v>
      </c>
    </row>
    <row r="312" spans="1:6" ht="15" thickBot="1">
      <c r="A312" s="31">
        <v>4333092</v>
      </c>
      <c r="B312" s="32">
        <v>3965000</v>
      </c>
      <c r="C312" s="33" t="s">
        <v>273</v>
      </c>
      <c r="D312" s="33" t="s">
        <v>169</v>
      </c>
      <c r="E312" s="34" t="s">
        <v>170</v>
      </c>
      <c r="F312" s="33" t="s">
        <v>163</v>
      </c>
    </row>
    <row r="313" spans="1:6" ht="15" thickBot="1">
      <c r="A313" s="31">
        <v>4336284</v>
      </c>
      <c r="B313" s="32">
        <v>190000</v>
      </c>
      <c r="C313" s="33" t="s">
        <v>262</v>
      </c>
      <c r="D313" s="33" t="s">
        <v>169</v>
      </c>
      <c r="E313" s="34" t="s">
        <v>170</v>
      </c>
      <c r="F313" s="33" t="s">
        <v>167</v>
      </c>
    </row>
    <row r="314" spans="1:6" ht="15" thickBot="1">
      <c r="A314" s="31">
        <v>4336352</v>
      </c>
      <c r="B314" s="32">
        <v>130000</v>
      </c>
      <c r="C314" s="33" t="s">
        <v>198</v>
      </c>
      <c r="D314" s="33" t="s">
        <v>169</v>
      </c>
      <c r="E314" s="34" t="s">
        <v>170</v>
      </c>
      <c r="F314" s="33" t="s">
        <v>167</v>
      </c>
    </row>
    <row r="315" spans="1:6" ht="15" thickBot="1">
      <c r="A315" s="31">
        <v>4336361</v>
      </c>
      <c r="B315" s="32">
        <v>75000</v>
      </c>
      <c r="C315" s="33" t="s">
        <v>198</v>
      </c>
      <c r="D315" s="33" t="s">
        <v>169</v>
      </c>
      <c r="E315" s="34" t="s">
        <v>170</v>
      </c>
      <c r="F315" s="33" t="s">
        <v>167</v>
      </c>
    </row>
    <row r="316" spans="1:6" ht="15" thickBot="1">
      <c r="A316" s="31">
        <v>4336388</v>
      </c>
      <c r="B316" s="32">
        <v>350000</v>
      </c>
      <c r="C316" s="33" t="s">
        <v>198</v>
      </c>
      <c r="D316" s="33" t="s">
        <v>169</v>
      </c>
      <c r="E316" s="34" t="s">
        <v>170</v>
      </c>
      <c r="F316" s="33" t="s">
        <v>167</v>
      </c>
    </row>
    <row r="317" spans="1:6" ht="15" thickBot="1">
      <c r="A317" s="31">
        <v>4336407</v>
      </c>
      <c r="B317" s="32">
        <v>160000</v>
      </c>
      <c r="C317" s="33" t="s">
        <v>198</v>
      </c>
      <c r="D317" s="33" t="s">
        <v>169</v>
      </c>
      <c r="E317" s="34" t="s">
        <v>170</v>
      </c>
      <c r="F317" s="33" t="s">
        <v>167</v>
      </c>
    </row>
    <row r="318" spans="1:6" ht="15" thickBot="1">
      <c r="A318" s="31">
        <v>4336415</v>
      </c>
      <c r="B318" s="32">
        <v>110000</v>
      </c>
      <c r="C318" s="33" t="s">
        <v>198</v>
      </c>
      <c r="D318" s="33" t="s">
        <v>169</v>
      </c>
      <c r="E318" s="34" t="s">
        <v>170</v>
      </c>
      <c r="F318" s="33" t="s">
        <v>167</v>
      </c>
    </row>
    <row r="319" spans="1:6" ht="15" thickBot="1">
      <c r="A319" s="31">
        <v>4336423</v>
      </c>
      <c r="B319" s="32">
        <v>190000</v>
      </c>
      <c r="C319" s="33" t="s">
        <v>198</v>
      </c>
      <c r="D319" s="33" t="s">
        <v>169</v>
      </c>
      <c r="E319" s="34" t="s">
        <v>170</v>
      </c>
      <c r="F319" s="33" t="s">
        <v>167</v>
      </c>
    </row>
    <row r="320" spans="1:6" ht="15" thickBot="1">
      <c r="A320" s="31">
        <v>4336482</v>
      </c>
      <c r="B320" s="32">
        <v>180000</v>
      </c>
      <c r="C320" s="33" t="s">
        <v>198</v>
      </c>
      <c r="D320" s="33" t="s">
        <v>169</v>
      </c>
      <c r="E320" s="34" t="s">
        <v>170</v>
      </c>
      <c r="F320" s="33" t="s">
        <v>167</v>
      </c>
    </row>
    <row r="321" spans="1:6" ht="15" thickBot="1">
      <c r="A321" s="31">
        <v>4336493</v>
      </c>
      <c r="B321" s="32">
        <v>170000</v>
      </c>
      <c r="C321" s="33" t="s">
        <v>198</v>
      </c>
      <c r="D321" s="33" t="s">
        <v>169</v>
      </c>
      <c r="E321" s="34" t="s">
        <v>170</v>
      </c>
      <c r="F321" s="33" t="s">
        <v>167</v>
      </c>
    </row>
    <row r="322" spans="1:6" ht="15" thickBot="1">
      <c r="A322" s="31">
        <v>4339824</v>
      </c>
      <c r="B322" s="32">
        <v>52500000</v>
      </c>
      <c r="C322" s="33" t="s">
        <v>177</v>
      </c>
      <c r="D322" s="33" t="s">
        <v>174</v>
      </c>
      <c r="E322" s="33" t="s">
        <v>166</v>
      </c>
      <c r="F322" s="33" t="s">
        <v>163</v>
      </c>
    </row>
    <row r="323" spans="1:6" ht="15" thickBot="1">
      <c r="A323" s="31">
        <v>4348668</v>
      </c>
      <c r="B323" s="32">
        <v>14500000</v>
      </c>
      <c r="C323" s="33" t="s">
        <v>272</v>
      </c>
      <c r="D323" s="33" t="s">
        <v>161</v>
      </c>
      <c r="E323" s="33" t="s">
        <v>162</v>
      </c>
      <c r="F323" s="33" t="s">
        <v>163</v>
      </c>
    </row>
    <row r="324" spans="1:6" ht="15" thickBot="1">
      <c r="A324" s="31">
        <v>4352352</v>
      </c>
      <c r="B324" s="32">
        <v>35000000</v>
      </c>
      <c r="C324" s="33" t="s">
        <v>182</v>
      </c>
      <c r="D324" s="33" t="s">
        <v>174</v>
      </c>
      <c r="E324" s="33" t="s">
        <v>166</v>
      </c>
      <c r="F324" s="33" t="s">
        <v>163</v>
      </c>
    </row>
    <row r="325" spans="1:6" ht="15" thickBot="1">
      <c r="A325" s="31">
        <v>4358106</v>
      </c>
      <c r="B325" s="32">
        <v>32500000</v>
      </c>
      <c r="C325" s="33" t="s">
        <v>193</v>
      </c>
      <c r="D325" s="33" t="s">
        <v>169</v>
      </c>
      <c r="E325" s="34" t="s">
        <v>170</v>
      </c>
      <c r="F325" s="33" t="s">
        <v>163</v>
      </c>
    </row>
    <row r="326" spans="1:6" ht="15" thickBot="1">
      <c r="A326" s="31">
        <v>4366201</v>
      </c>
      <c r="B326" s="32">
        <v>100000</v>
      </c>
      <c r="C326" s="33" t="s">
        <v>198</v>
      </c>
      <c r="D326" s="33" t="s">
        <v>169</v>
      </c>
      <c r="E326" s="34" t="s">
        <v>170</v>
      </c>
      <c r="F326" s="33" t="s">
        <v>167</v>
      </c>
    </row>
    <row r="327" spans="1:6" ht="15" thickBot="1">
      <c r="A327" s="31">
        <v>4366275</v>
      </c>
      <c r="B327" s="32">
        <v>350000</v>
      </c>
      <c r="C327" s="33" t="s">
        <v>198</v>
      </c>
      <c r="D327" s="33" t="s">
        <v>169</v>
      </c>
      <c r="E327" s="34" t="s">
        <v>170</v>
      </c>
      <c r="F327" s="33" t="s">
        <v>167</v>
      </c>
    </row>
    <row r="328" spans="1:6" ht="15" thickBot="1">
      <c r="A328" s="31">
        <v>4372371</v>
      </c>
      <c r="B328" s="32">
        <v>130000</v>
      </c>
      <c r="C328" s="33" t="s">
        <v>274</v>
      </c>
      <c r="D328" s="33" t="s">
        <v>169</v>
      </c>
      <c r="E328" s="34" t="s">
        <v>170</v>
      </c>
      <c r="F328" s="33" t="s">
        <v>167</v>
      </c>
    </row>
    <row r="329" spans="1:6" ht="15" thickBot="1">
      <c r="A329" s="31">
        <v>4375535</v>
      </c>
      <c r="B329" s="32">
        <v>22500000</v>
      </c>
      <c r="C329" s="33" t="s">
        <v>206</v>
      </c>
      <c r="D329" s="33" t="s">
        <v>174</v>
      </c>
      <c r="E329" s="33" t="s">
        <v>166</v>
      </c>
      <c r="F329" s="33" t="s">
        <v>163</v>
      </c>
    </row>
    <row r="330" spans="1:6" ht="15" thickBot="1">
      <c r="A330" s="31">
        <v>4375549</v>
      </c>
      <c r="B330" s="32">
        <v>22500000</v>
      </c>
      <c r="C330" s="33" t="s">
        <v>206</v>
      </c>
      <c r="D330" s="33" t="s">
        <v>174</v>
      </c>
      <c r="E330" s="33" t="s">
        <v>166</v>
      </c>
      <c r="F330" s="33" t="s">
        <v>163</v>
      </c>
    </row>
    <row r="331" spans="1:6" ht="15" thickBot="1">
      <c r="A331" s="31">
        <v>4375556</v>
      </c>
      <c r="B331" s="32">
        <v>23500000</v>
      </c>
      <c r="C331" s="33" t="s">
        <v>206</v>
      </c>
      <c r="D331" s="33" t="s">
        <v>174</v>
      </c>
      <c r="E331" s="33" t="s">
        <v>166</v>
      </c>
      <c r="F331" s="33" t="s">
        <v>163</v>
      </c>
    </row>
    <row r="332" spans="1:6" ht="15" thickBot="1">
      <c r="A332" s="31">
        <v>4381593</v>
      </c>
      <c r="B332" s="32">
        <v>150000</v>
      </c>
      <c r="C332" s="33" t="s">
        <v>177</v>
      </c>
      <c r="D332" s="33" t="s">
        <v>161</v>
      </c>
      <c r="E332" s="33" t="s">
        <v>162</v>
      </c>
      <c r="F332" s="33" t="s">
        <v>167</v>
      </c>
    </row>
    <row r="333" spans="1:6" ht="15" thickBot="1">
      <c r="A333" s="31">
        <v>4384056</v>
      </c>
      <c r="B333" s="32">
        <v>22500000</v>
      </c>
      <c r="C333" s="33" t="s">
        <v>177</v>
      </c>
      <c r="D333" s="33" t="s">
        <v>161</v>
      </c>
      <c r="E333" s="33" t="s">
        <v>162</v>
      </c>
      <c r="F333" s="33" t="s">
        <v>163</v>
      </c>
    </row>
    <row r="334" spans="1:6" ht="15" thickBot="1">
      <c r="A334" s="31">
        <v>4387768</v>
      </c>
      <c r="B334" s="32">
        <v>250000</v>
      </c>
      <c r="C334" s="33" t="s">
        <v>262</v>
      </c>
      <c r="D334" s="33" t="s">
        <v>169</v>
      </c>
      <c r="E334" s="34" t="s">
        <v>170</v>
      </c>
      <c r="F334" s="33" t="s">
        <v>167</v>
      </c>
    </row>
    <row r="335" spans="1:6" ht="15" thickBot="1">
      <c r="A335" s="31">
        <v>4387878</v>
      </c>
      <c r="B335" s="32">
        <v>32000</v>
      </c>
      <c r="C335" s="33" t="s">
        <v>266</v>
      </c>
      <c r="D335" s="33" t="s">
        <v>165</v>
      </c>
      <c r="E335" s="33" t="s">
        <v>166</v>
      </c>
      <c r="F335" s="33" t="s">
        <v>167</v>
      </c>
    </row>
    <row r="336" spans="1:6" ht="15" thickBot="1">
      <c r="A336" s="31">
        <v>4389467</v>
      </c>
      <c r="B336" s="32">
        <v>250000</v>
      </c>
      <c r="C336" s="33" t="s">
        <v>177</v>
      </c>
      <c r="D336" s="33" t="s">
        <v>161</v>
      </c>
      <c r="E336" s="33" t="s">
        <v>162</v>
      </c>
      <c r="F336" s="33" t="s">
        <v>167</v>
      </c>
    </row>
    <row r="337" spans="1:6" ht="15" thickBot="1">
      <c r="A337" s="31">
        <v>4390797</v>
      </c>
      <c r="B337" s="32">
        <v>7800000</v>
      </c>
      <c r="C337" s="33" t="s">
        <v>262</v>
      </c>
      <c r="D337" s="33" t="s">
        <v>169</v>
      </c>
      <c r="E337" s="34" t="s">
        <v>170</v>
      </c>
      <c r="F337" s="33" t="s">
        <v>163</v>
      </c>
    </row>
    <row r="338" spans="1:6" ht="15" thickBot="1">
      <c r="A338" s="31">
        <v>4393127</v>
      </c>
      <c r="B338" s="32">
        <v>15500000</v>
      </c>
      <c r="C338" s="33" t="s">
        <v>185</v>
      </c>
      <c r="D338" s="33" t="s">
        <v>174</v>
      </c>
      <c r="E338" s="33" t="s">
        <v>166</v>
      </c>
      <c r="F338" s="33" t="s">
        <v>163</v>
      </c>
    </row>
    <row r="339" spans="1:6" ht="15" thickBot="1">
      <c r="A339" s="31">
        <v>4398714</v>
      </c>
      <c r="B339" s="32">
        <v>22500000</v>
      </c>
      <c r="C339" s="33" t="s">
        <v>254</v>
      </c>
      <c r="D339" s="33" t="s">
        <v>165</v>
      </c>
      <c r="E339" s="33" t="s">
        <v>166</v>
      </c>
      <c r="F339" s="33" t="s">
        <v>163</v>
      </c>
    </row>
    <row r="340" spans="1:6" ht="15" thickBot="1">
      <c r="A340" s="31">
        <v>4405633</v>
      </c>
      <c r="B340" s="32">
        <v>45000000</v>
      </c>
      <c r="C340" s="33" t="s">
        <v>171</v>
      </c>
      <c r="D340" s="33" t="s">
        <v>161</v>
      </c>
      <c r="E340" s="33" t="s">
        <v>162</v>
      </c>
      <c r="F340" s="33" t="s">
        <v>163</v>
      </c>
    </row>
    <row r="341" spans="1:6" ht="15" thickBot="1">
      <c r="A341" s="31">
        <v>4458130</v>
      </c>
      <c r="B341" s="32">
        <v>21000000</v>
      </c>
      <c r="C341" s="33" t="s">
        <v>272</v>
      </c>
      <c r="D341" s="33" t="s">
        <v>161</v>
      </c>
      <c r="E341" s="33" t="s">
        <v>162</v>
      </c>
      <c r="F341" s="33" t="s">
        <v>163</v>
      </c>
    </row>
    <row r="342" spans="1:6" ht="15" thickBot="1">
      <c r="A342" s="31">
        <v>4474118</v>
      </c>
      <c r="B342" s="32">
        <v>8500000</v>
      </c>
      <c r="C342" s="33" t="s">
        <v>275</v>
      </c>
      <c r="D342" s="33" t="s">
        <v>161</v>
      </c>
      <c r="E342" s="33" t="s">
        <v>162</v>
      </c>
      <c r="F342" s="33" t="s">
        <v>163</v>
      </c>
    </row>
    <row r="343" spans="1:6" ht="15" thickBot="1">
      <c r="A343" s="31">
        <v>4480514</v>
      </c>
      <c r="B343" s="32">
        <v>70000</v>
      </c>
      <c r="C343" s="33" t="s">
        <v>184</v>
      </c>
      <c r="D343" s="33" t="s">
        <v>161</v>
      </c>
      <c r="E343" s="33" t="s">
        <v>162</v>
      </c>
      <c r="F343" s="33" t="s">
        <v>167</v>
      </c>
    </row>
    <row r="344" spans="1:6" ht="15" thickBot="1">
      <c r="A344" s="31">
        <v>4498537</v>
      </c>
      <c r="B344" s="32">
        <v>37000000</v>
      </c>
      <c r="C344" s="33" t="s">
        <v>206</v>
      </c>
      <c r="D344" s="33" t="s">
        <v>174</v>
      </c>
      <c r="E344" s="33" t="s">
        <v>166</v>
      </c>
      <c r="F344" s="33" t="s">
        <v>163</v>
      </c>
    </row>
    <row r="345" spans="1:6" ht="15" thickBot="1">
      <c r="A345" s="31">
        <v>4498557</v>
      </c>
      <c r="B345" s="32">
        <v>28000000</v>
      </c>
      <c r="C345" s="33" t="s">
        <v>206</v>
      </c>
      <c r="D345" s="33" t="s">
        <v>174</v>
      </c>
      <c r="E345" s="33" t="s">
        <v>166</v>
      </c>
      <c r="F345" s="33" t="s">
        <v>163</v>
      </c>
    </row>
    <row r="346" spans="1:6" ht="15" thickBot="1">
      <c r="A346" s="31">
        <v>4498560</v>
      </c>
      <c r="B346" s="32">
        <v>23500000</v>
      </c>
      <c r="C346" s="33" t="s">
        <v>206</v>
      </c>
      <c r="D346" s="33" t="s">
        <v>174</v>
      </c>
      <c r="E346" s="33" t="s">
        <v>166</v>
      </c>
      <c r="F346" s="33" t="s">
        <v>163</v>
      </c>
    </row>
    <row r="347" spans="1:6" ht="15" thickBot="1">
      <c r="A347" s="31">
        <v>4498562</v>
      </c>
      <c r="B347" s="32">
        <v>22000000</v>
      </c>
      <c r="C347" s="33" t="s">
        <v>206</v>
      </c>
      <c r="D347" s="33" t="s">
        <v>174</v>
      </c>
      <c r="E347" s="33" t="s">
        <v>166</v>
      </c>
      <c r="F347" s="33" t="s">
        <v>163</v>
      </c>
    </row>
    <row r="348" spans="1:6" ht="15" thickBot="1">
      <c r="A348" s="31">
        <v>4498563</v>
      </c>
      <c r="B348" s="32">
        <v>22000000</v>
      </c>
      <c r="C348" s="33" t="s">
        <v>206</v>
      </c>
      <c r="D348" s="33" t="s">
        <v>174</v>
      </c>
      <c r="E348" s="33" t="s">
        <v>166</v>
      </c>
      <c r="F348" s="33" t="s">
        <v>163</v>
      </c>
    </row>
    <row r="349" spans="1:6" ht="15" thickBot="1">
      <c r="A349" s="31">
        <v>4498564</v>
      </c>
      <c r="B349" s="32">
        <v>21500000</v>
      </c>
      <c r="C349" s="33" t="s">
        <v>206</v>
      </c>
      <c r="D349" s="33" t="s">
        <v>174</v>
      </c>
      <c r="E349" s="33" t="s">
        <v>166</v>
      </c>
      <c r="F349" s="33" t="s">
        <v>163</v>
      </c>
    </row>
    <row r="350" spans="1:6" ht="15" thickBot="1">
      <c r="A350" s="31">
        <v>4498565</v>
      </c>
      <c r="B350" s="32">
        <v>22500000</v>
      </c>
      <c r="C350" s="33" t="s">
        <v>206</v>
      </c>
      <c r="D350" s="33" t="s">
        <v>174</v>
      </c>
      <c r="E350" s="33" t="s">
        <v>166</v>
      </c>
      <c r="F350" s="33" t="s">
        <v>163</v>
      </c>
    </row>
    <row r="351" spans="1:6" ht="15" thickBot="1">
      <c r="A351" s="31">
        <v>4504004</v>
      </c>
      <c r="B351" s="32">
        <v>85000000</v>
      </c>
      <c r="C351" s="33" t="s">
        <v>160</v>
      </c>
      <c r="D351" s="33" t="s">
        <v>161</v>
      </c>
      <c r="E351" s="33" t="s">
        <v>162</v>
      </c>
      <c r="F351" s="33" t="s">
        <v>163</v>
      </c>
    </row>
    <row r="352" spans="1:6" ht="15" thickBot="1">
      <c r="A352" s="31">
        <v>4504386</v>
      </c>
      <c r="B352" s="32">
        <v>25000000</v>
      </c>
      <c r="C352" s="33" t="s">
        <v>177</v>
      </c>
      <c r="D352" s="33" t="s">
        <v>161</v>
      </c>
      <c r="E352" s="33" t="s">
        <v>162</v>
      </c>
      <c r="F352" s="33" t="s">
        <v>163</v>
      </c>
    </row>
    <row r="353" spans="1:6" ht="15" thickBot="1">
      <c r="A353" s="31">
        <v>4536731</v>
      </c>
      <c r="B353" s="32">
        <v>60000000</v>
      </c>
      <c r="C353" s="33" t="s">
        <v>182</v>
      </c>
      <c r="D353" s="33" t="s">
        <v>174</v>
      </c>
      <c r="E353" s="33" t="s">
        <v>166</v>
      </c>
      <c r="F353" s="33" t="s">
        <v>163</v>
      </c>
    </row>
    <row r="354" spans="1:6" ht="15" thickBot="1">
      <c r="A354" s="31">
        <v>4536854</v>
      </c>
      <c r="B354" s="32">
        <v>1200000000</v>
      </c>
      <c r="C354" s="33" t="s">
        <v>182</v>
      </c>
      <c r="D354" s="33" t="s">
        <v>174</v>
      </c>
      <c r="E354" s="33" t="s">
        <v>166</v>
      </c>
      <c r="F354" s="33" t="s">
        <v>163</v>
      </c>
    </row>
    <row r="355" spans="1:6" ht="15" thickBot="1">
      <c r="A355" s="31">
        <v>4543921</v>
      </c>
      <c r="B355" s="32">
        <v>12000</v>
      </c>
      <c r="C355" s="33" t="s">
        <v>276</v>
      </c>
      <c r="D355" s="33" t="s">
        <v>165</v>
      </c>
      <c r="E355" s="33" t="s">
        <v>166</v>
      </c>
      <c r="F355" s="33" t="s">
        <v>167</v>
      </c>
    </row>
    <row r="356" spans="1:6" ht="15" thickBot="1">
      <c r="A356" s="31">
        <v>4557799</v>
      </c>
      <c r="B356" s="32">
        <v>380000000</v>
      </c>
      <c r="C356" s="33" t="s">
        <v>182</v>
      </c>
      <c r="D356" s="33" t="s">
        <v>174</v>
      </c>
      <c r="E356" s="33" t="s">
        <v>166</v>
      </c>
      <c r="F356" s="33" t="s">
        <v>163</v>
      </c>
    </row>
    <row r="357" spans="1:6" ht="15" thickBot="1">
      <c r="A357" s="31">
        <v>4560911</v>
      </c>
      <c r="B357" s="32">
        <v>3200000</v>
      </c>
      <c r="C357" s="33" t="s">
        <v>277</v>
      </c>
      <c r="D357" s="33" t="s">
        <v>174</v>
      </c>
      <c r="E357" s="33" t="s">
        <v>166</v>
      </c>
      <c r="F357" s="33" t="s">
        <v>163</v>
      </c>
    </row>
    <row r="358" spans="1:6" ht="15" thickBot="1">
      <c r="A358" s="31">
        <v>4570988</v>
      </c>
      <c r="B358" s="32">
        <v>59800000</v>
      </c>
      <c r="C358" s="33" t="s">
        <v>177</v>
      </c>
      <c r="D358" s="33" t="s">
        <v>174</v>
      </c>
      <c r="E358" s="33" t="s">
        <v>166</v>
      </c>
      <c r="F358" s="33" t="s">
        <v>163</v>
      </c>
    </row>
    <row r="359" spans="1:6" ht="15" thickBot="1">
      <c r="A359" s="31">
        <v>4586042</v>
      </c>
      <c r="B359" s="32">
        <v>85000</v>
      </c>
      <c r="C359" s="33" t="s">
        <v>227</v>
      </c>
      <c r="D359" s="33" t="s">
        <v>165</v>
      </c>
      <c r="E359" s="33" t="s">
        <v>166</v>
      </c>
      <c r="F359" s="33" t="s">
        <v>167</v>
      </c>
    </row>
    <row r="360" spans="1:6" ht="15" thickBot="1">
      <c r="A360" s="31">
        <v>4590970</v>
      </c>
      <c r="B360" s="32">
        <v>30000000</v>
      </c>
      <c r="C360" s="33" t="s">
        <v>204</v>
      </c>
      <c r="D360" s="33" t="s">
        <v>169</v>
      </c>
      <c r="E360" s="34" t="s">
        <v>170</v>
      </c>
      <c r="F360" s="33" t="s">
        <v>163</v>
      </c>
    </row>
    <row r="361" spans="1:6" ht="15" thickBot="1">
      <c r="A361" s="31">
        <v>4606306</v>
      </c>
      <c r="B361" s="32">
        <v>17000</v>
      </c>
      <c r="C361" s="33" t="s">
        <v>177</v>
      </c>
      <c r="D361" s="33" t="s">
        <v>169</v>
      </c>
      <c r="E361" s="34" t="s">
        <v>170</v>
      </c>
      <c r="F361" s="33" t="s">
        <v>167</v>
      </c>
    </row>
    <row r="362" spans="1:6" ht="15" thickBot="1">
      <c r="A362" s="31">
        <v>4612884</v>
      </c>
      <c r="B362" s="32">
        <v>3760000</v>
      </c>
      <c r="C362" s="33" t="s">
        <v>278</v>
      </c>
      <c r="D362" s="33" t="s">
        <v>161</v>
      </c>
      <c r="E362" s="33" t="s">
        <v>162</v>
      </c>
      <c r="F362" s="33" t="s">
        <v>163</v>
      </c>
    </row>
    <row r="363" spans="1:6" ht="15" thickBot="1">
      <c r="A363" s="31">
        <v>4617764</v>
      </c>
      <c r="B363" s="32">
        <v>30000000</v>
      </c>
      <c r="C363" s="33" t="s">
        <v>196</v>
      </c>
      <c r="D363" s="33" t="s">
        <v>161</v>
      </c>
      <c r="E363" s="33" t="s">
        <v>162</v>
      </c>
      <c r="F363" s="33" t="s">
        <v>163</v>
      </c>
    </row>
    <row r="364" spans="1:6" ht="15" thickBot="1">
      <c r="A364" s="31">
        <v>4638791</v>
      </c>
      <c r="B364" s="32">
        <v>110000</v>
      </c>
      <c r="C364" s="33" t="s">
        <v>198</v>
      </c>
      <c r="D364" s="33" t="s">
        <v>169</v>
      </c>
      <c r="E364" s="34" t="s">
        <v>170</v>
      </c>
      <c r="F364" s="33" t="s">
        <v>167</v>
      </c>
    </row>
    <row r="365" spans="1:6" ht="15" thickBot="1">
      <c r="A365" s="31">
        <v>4638846</v>
      </c>
      <c r="B365" s="32">
        <v>80000</v>
      </c>
      <c r="C365" s="33" t="s">
        <v>198</v>
      </c>
      <c r="D365" s="33" t="s">
        <v>169</v>
      </c>
      <c r="E365" s="34" t="s">
        <v>170</v>
      </c>
      <c r="F365" s="33" t="s">
        <v>167</v>
      </c>
    </row>
    <row r="366" spans="1:6" ht="15" thickBot="1">
      <c r="A366" s="31">
        <v>4662336</v>
      </c>
      <c r="B366" s="32">
        <v>110000</v>
      </c>
      <c r="C366" s="33" t="s">
        <v>172</v>
      </c>
      <c r="D366" s="33" t="s">
        <v>169</v>
      </c>
      <c r="E366" s="34" t="s">
        <v>170</v>
      </c>
      <c r="F366" s="33" t="s">
        <v>167</v>
      </c>
    </row>
    <row r="367" spans="1:6" ht="15" thickBot="1">
      <c r="A367" s="31">
        <v>4676653</v>
      </c>
      <c r="B367" s="32">
        <v>25000000</v>
      </c>
      <c r="C367" s="33" t="s">
        <v>179</v>
      </c>
      <c r="D367" s="33" t="s">
        <v>165</v>
      </c>
      <c r="E367" s="33" t="s">
        <v>166</v>
      </c>
      <c r="F367" s="33" t="s">
        <v>163</v>
      </c>
    </row>
    <row r="368" spans="1:6" ht="15" thickBot="1">
      <c r="A368" s="31">
        <v>4677101</v>
      </c>
      <c r="B368" s="32">
        <v>66000000</v>
      </c>
      <c r="C368" s="33" t="s">
        <v>177</v>
      </c>
      <c r="D368" s="33" t="s">
        <v>174</v>
      </c>
      <c r="E368" s="33" t="s">
        <v>166</v>
      </c>
      <c r="F368" s="33" t="s">
        <v>163</v>
      </c>
    </row>
    <row r="369" spans="1:6" ht="15" thickBot="1">
      <c r="A369" s="31">
        <v>4708049</v>
      </c>
      <c r="B369" s="32">
        <v>22500000</v>
      </c>
      <c r="C369" s="33" t="s">
        <v>180</v>
      </c>
      <c r="D369" s="33" t="s">
        <v>165</v>
      </c>
      <c r="E369" s="33" t="s">
        <v>166</v>
      </c>
      <c r="F369" s="33" t="s">
        <v>163</v>
      </c>
    </row>
    <row r="370" spans="1:6" ht="15" thickBot="1">
      <c r="A370" s="31">
        <v>4709390</v>
      </c>
      <c r="B370" s="32">
        <v>40000000</v>
      </c>
      <c r="C370" s="33" t="s">
        <v>180</v>
      </c>
      <c r="D370" s="33" t="s">
        <v>165</v>
      </c>
      <c r="E370" s="33" t="s">
        <v>166</v>
      </c>
      <c r="F370" s="33" t="s">
        <v>163</v>
      </c>
    </row>
    <row r="371" spans="1:6" ht="15" thickBot="1">
      <c r="A371" s="31">
        <v>4711877</v>
      </c>
      <c r="B371" s="32">
        <v>38000000</v>
      </c>
      <c r="C371" s="33" t="s">
        <v>180</v>
      </c>
      <c r="D371" s="33" t="s">
        <v>165</v>
      </c>
      <c r="E371" s="33" t="s">
        <v>166</v>
      </c>
      <c r="F371" s="33" t="s">
        <v>163</v>
      </c>
    </row>
    <row r="372" spans="1:6" ht="15" thickBot="1">
      <c r="A372" s="31">
        <v>4721544</v>
      </c>
      <c r="B372" s="32">
        <v>10000000</v>
      </c>
      <c r="C372" s="33" t="s">
        <v>266</v>
      </c>
      <c r="D372" s="33" t="s">
        <v>165</v>
      </c>
      <c r="E372" s="33" t="s">
        <v>166</v>
      </c>
      <c r="F372" s="33" t="s">
        <v>163</v>
      </c>
    </row>
    <row r="373" spans="1:6" ht="15" thickBot="1">
      <c r="A373" s="31">
        <v>4747413</v>
      </c>
      <c r="B373" s="32">
        <v>360000000</v>
      </c>
      <c r="C373" s="33" t="s">
        <v>182</v>
      </c>
      <c r="D373" s="33" t="s">
        <v>174</v>
      </c>
      <c r="E373" s="33" t="s">
        <v>166</v>
      </c>
      <c r="F373" s="33" t="s">
        <v>163</v>
      </c>
    </row>
    <row r="374" spans="1:6" ht="15" thickBot="1">
      <c r="A374" s="31">
        <v>4777513</v>
      </c>
      <c r="B374" s="32">
        <v>72500000</v>
      </c>
      <c r="C374" s="33" t="s">
        <v>279</v>
      </c>
      <c r="D374" s="33" t="s">
        <v>161</v>
      </c>
      <c r="E374" s="33" t="s">
        <v>162</v>
      </c>
      <c r="F374" s="33" t="s">
        <v>163</v>
      </c>
    </row>
    <row r="375" spans="1:6" ht="15" thickBot="1">
      <c r="A375" s="31">
        <v>4784013</v>
      </c>
      <c r="B375" s="32">
        <v>22500000</v>
      </c>
      <c r="C375" s="33" t="s">
        <v>180</v>
      </c>
      <c r="D375" s="33" t="s">
        <v>165</v>
      </c>
      <c r="E375" s="33" t="s">
        <v>166</v>
      </c>
      <c r="F375" s="33" t="s">
        <v>163</v>
      </c>
    </row>
    <row r="376" spans="1:6" ht="15" thickBot="1">
      <c r="A376" s="31">
        <v>4784194</v>
      </c>
      <c r="B376" s="32">
        <v>40000000</v>
      </c>
      <c r="C376" s="33" t="s">
        <v>180</v>
      </c>
      <c r="D376" s="33" t="s">
        <v>165</v>
      </c>
      <c r="E376" s="33" t="s">
        <v>166</v>
      </c>
      <c r="F376" s="33" t="s">
        <v>163</v>
      </c>
    </row>
    <row r="377" spans="1:6" ht="15" thickBot="1">
      <c r="A377" s="31">
        <v>4787556</v>
      </c>
      <c r="B377" s="32">
        <v>77500000</v>
      </c>
      <c r="C377" s="33" t="s">
        <v>160</v>
      </c>
      <c r="D377" s="33" t="s">
        <v>161</v>
      </c>
      <c r="E377" s="33" t="s">
        <v>162</v>
      </c>
      <c r="F377" s="33" t="s">
        <v>163</v>
      </c>
    </row>
    <row r="378" spans="1:6" ht="15" thickBot="1">
      <c r="A378" s="31">
        <v>4801631</v>
      </c>
      <c r="B378" s="32">
        <v>21000000</v>
      </c>
      <c r="C378" s="33" t="s">
        <v>204</v>
      </c>
      <c r="D378" s="33" t="s">
        <v>169</v>
      </c>
      <c r="E378" s="34" t="s">
        <v>170</v>
      </c>
      <c r="F378" s="33" t="s">
        <v>163</v>
      </c>
    </row>
    <row r="379" spans="1:6" ht="15" thickBot="1">
      <c r="A379" s="31">
        <v>4805348</v>
      </c>
      <c r="B379" s="32">
        <v>120000000</v>
      </c>
      <c r="C379" s="33" t="s">
        <v>196</v>
      </c>
      <c r="D379" s="33" t="s">
        <v>161</v>
      </c>
      <c r="E379" s="33" t="s">
        <v>162</v>
      </c>
      <c r="F379" s="33" t="s">
        <v>163</v>
      </c>
    </row>
    <row r="380" spans="1:6" ht="15" thickBot="1">
      <c r="A380" s="31">
        <v>4832995</v>
      </c>
      <c r="B380" s="32">
        <v>120000000</v>
      </c>
      <c r="C380" s="33" t="s">
        <v>177</v>
      </c>
      <c r="D380" s="33" t="s">
        <v>161</v>
      </c>
      <c r="E380" s="33" t="s">
        <v>162</v>
      </c>
      <c r="F380" s="33" t="s">
        <v>163</v>
      </c>
    </row>
    <row r="381" spans="1:6" ht="15" thickBot="1">
      <c r="A381" s="31">
        <v>4858041</v>
      </c>
      <c r="B381" s="32">
        <v>8000000</v>
      </c>
      <c r="C381" s="33" t="s">
        <v>204</v>
      </c>
      <c r="D381" s="33" t="s">
        <v>169</v>
      </c>
      <c r="E381" s="34" t="s">
        <v>170</v>
      </c>
      <c r="F381" s="33" t="s">
        <v>163</v>
      </c>
    </row>
    <row r="382" spans="1:6" ht="15" thickBot="1">
      <c r="A382" s="31">
        <v>4880028</v>
      </c>
      <c r="B382" s="32">
        <v>42000000</v>
      </c>
      <c r="C382" s="33" t="s">
        <v>180</v>
      </c>
      <c r="D382" s="33" t="s">
        <v>165</v>
      </c>
      <c r="E382" s="33" t="s">
        <v>166</v>
      </c>
      <c r="F382" s="33" t="s">
        <v>163</v>
      </c>
    </row>
    <row r="383" spans="1:6" ht="15" thickBot="1">
      <c r="A383" s="31">
        <v>4896334</v>
      </c>
      <c r="B383" s="32">
        <v>75000</v>
      </c>
      <c r="C383" s="33" t="s">
        <v>198</v>
      </c>
      <c r="D383" s="33" t="s">
        <v>169</v>
      </c>
      <c r="E383" s="34" t="s">
        <v>170</v>
      </c>
      <c r="F383" s="33" t="s">
        <v>167</v>
      </c>
    </row>
    <row r="384" spans="1:6" ht="15" thickBot="1">
      <c r="A384" s="31">
        <v>4907568</v>
      </c>
      <c r="B384" s="32">
        <v>160000000</v>
      </c>
      <c r="C384" s="33" t="s">
        <v>197</v>
      </c>
      <c r="D384" s="33" t="s">
        <v>174</v>
      </c>
      <c r="E384" s="33" t="s">
        <v>166</v>
      </c>
      <c r="F384" s="33" t="s">
        <v>163</v>
      </c>
    </row>
    <row r="385" spans="1:6" ht="15" thickBot="1">
      <c r="A385" s="31">
        <v>4929389</v>
      </c>
      <c r="B385" s="32">
        <v>45000</v>
      </c>
      <c r="C385" s="33" t="s">
        <v>177</v>
      </c>
      <c r="D385" s="33" t="s">
        <v>169</v>
      </c>
      <c r="E385" s="34" t="s">
        <v>170</v>
      </c>
      <c r="F385" s="33" t="s">
        <v>167</v>
      </c>
    </row>
    <row r="386" spans="1:6" ht="15" thickBot="1">
      <c r="A386" s="31">
        <v>4931494</v>
      </c>
      <c r="B386" s="32">
        <v>5000000</v>
      </c>
      <c r="C386" s="33" t="s">
        <v>172</v>
      </c>
      <c r="D386" s="33" t="s">
        <v>169</v>
      </c>
      <c r="E386" s="34" t="s">
        <v>170</v>
      </c>
      <c r="F386" s="33" t="s">
        <v>163</v>
      </c>
    </row>
    <row r="387" spans="1:6" ht="15" thickBot="1">
      <c r="A387" s="31">
        <v>4931495</v>
      </c>
      <c r="B387" s="32">
        <v>3600000</v>
      </c>
      <c r="C387" s="33" t="s">
        <v>172</v>
      </c>
      <c r="D387" s="33" t="s">
        <v>169</v>
      </c>
      <c r="E387" s="34" t="s">
        <v>170</v>
      </c>
      <c r="F387" s="33" t="s">
        <v>163</v>
      </c>
    </row>
    <row r="388" spans="1:6" ht="15" thickBot="1">
      <c r="A388" s="31">
        <v>4931496</v>
      </c>
      <c r="B388" s="32">
        <v>4800000</v>
      </c>
      <c r="C388" s="33" t="s">
        <v>172</v>
      </c>
      <c r="D388" s="33" t="s">
        <v>169</v>
      </c>
      <c r="E388" s="34" t="s">
        <v>170</v>
      </c>
      <c r="F388" s="33" t="s">
        <v>163</v>
      </c>
    </row>
    <row r="389" spans="1:6" ht="15" thickBot="1">
      <c r="A389" s="31">
        <v>4931497</v>
      </c>
      <c r="B389" s="32">
        <v>14000000</v>
      </c>
      <c r="C389" s="33" t="s">
        <v>264</v>
      </c>
      <c r="D389" s="33" t="s">
        <v>169</v>
      </c>
      <c r="E389" s="34" t="s">
        <v>170</v>
      </c>
      <c r="F389" s="33" t="s">
        <v>163</v>
      </c>
    </row>
    <row r="390" spans="1:6" ht="15" thickBot="1">
      <c r="A390" s="31">
        <v>4936563</v>
      </c>
      <c r="B390" s="32">
        <v>75000000</v>
      </c>
      <c r="C390" s="33" t="s">
        <v>177</v>
      </c>
      <c r="D390" s="33" t="s">
        <v>161</v>
      </c>
      <c r="E390" s="33" t="s">
        <v>162</v>
      </c>
      <c r="F390" s="33" t="s">
        <v>163</v>
      </c>
    </row>
    <row r="391" spans="1:6" ht="15" thickBot="1">
      <c r="A391" s="31">
        <v>4938509</v>
      </c>
      <c r="B391" s="32">
        <v>95000000</v>
      </c>
      <c r="C391" s="33" t="s">
        <v>196</v>
      </c>
      <c r="D391" s="33" t="s">
        <v>161</v>
      </c>
      <c r="E391" s="33" t="s">
        <v>162</v>
      </c>
      <c r="F391" s="33" t="s">
        <v>163</v>
      </c>
    </row>
    <row r="392" spans="1:6" ht="15" thickBot="1">
      <c r="A392" s="31">
        <v>4939545</v>
      </c>
      <c r="B392" s="32">
        <v>75000</v>
      </c>
      <c r="C392" s="33" t="s">
        <v>280</v>
      </c>
      <c r="D392" s="33" t="s">
        <v>165</v>
      </c>
      <c r="E392" s="33" t="s">
        <v>166</v>
      </c>
      <c r="F392" s="33" t="s">
        <v>167</v>
      </c>
    </row>
    <row r="393" spans="1:6" ht="15" thickBot="1">
      <c r="A393" s="31">
        <v>4940629</v>
      </c>
      <c r="B393" s="32">
        <v>8000000</v>
      </c>
      <c r="C393" s="33" t="s">
        <v>173</v>
      </c>
      <c r="D393" s="33" t="s">
        <v>174</v>
      </c>
      <c r="E393" s="33" t="s">
        <v>166</v>
      </c>
      <c r="F393" s="33" t="s">
        <v>163</v>
      </c>
    </row>
    <row r="394" spans="1:6" ht="15" thickBot="1">
      <c r="A394" s="31">
        <v>4951451</v>
      </c>
      <c r="B394" s="32">
        <v>480000000</v>
      </c>
      <c r="C394" s="33" t="s">
        <v>182</v>
      </c>
      <c r="D394" s="33" t="s">
        <v>174</v>
      </c>
      <c r="E394" s="33" t="s">
        <v>166</v>
      </c>
      <c r="F394" s="33" t="s">
        <v>163</v>
      </c>
    </row>
    <row r="395" spans="1:6" ht="15" thickBot="1">
      <c r="A395" s="31">
        <v>4962614</v>
      </c>
      <c r="B395" s="32">
        <v>14500000</v>
      </c>
      <c r="C395" s="33" t="s">
        <v>190</v>
      </c>
      <c r="D395" s="33" t="s">
        <v>169</v>
      </c>
      <c r="E395" s="34" t="s">
        <v>170</v>
      </c>
      <c r="F395" s="33" t="s">
        <v>163</v>
      </c>
    </row>
    <row r="396" spans="1:6" ht="15" thickBot="1">
      <c r="A396" s="31">
        <v>4965937</v>
      </c>
      <c r="B396" s="32">
        <v>19000000</v>
      </c>
      <c r="C396" s="33" t="s">
        <v>221</v>
      </c>
      <c r="D396" s="33" t="s">
        <v>169</v>
      </c>
      <c r="E396" s="34" t="s">
        <v>170</v>
      </c>
      <c r="F396" s="33" t="s">
        <v>163</v>
      </c>
    </row>
    <row r="397" spans="1:6" ht="15" thickBot="1">
      <c r="A397" s="31">
        <v>4970767</v>
      </c>
      <c r="B397" s="32">
        <v>65000</v>
      </c>
      <c r="C397" s="33" t="s">
        <v>160</v>
      </c>
      <c r="D397" s="33" t="s">
        <v>161</v>
      </c>
      <c r="E397" s="33" t="s">
        <v>162</v>
      </c>
      <c r="F397" s="33" t="s">
        <v>167</v>
      </c>
    </row>
    <row r="398" spans="1:6" ht="15" thickBot="1">
      <c r="A398" s="31">
        <v>4975101</v>
      </c>
      <c r="B398" s="32">
        <v>40000000</v>
      </c>
      <c r="C398" s="33" t="s">
        <v>281</v>
      </c>
      <c r="D398" s="33" t="s">
        <v>165</v>
      </c>
      <c r="E398" s="33" t="s">
        <v>166</v>
      </c>
      <c r="F398" s="33" t="s">
        <v>163</v>
      </c>
    </row>
    <row r="399" spans="1:6" ht="15" thickBot="1">
      <c r="A399" s="31">
        <v>4976670</v>
      </c>
      <c r="B399" s="32">
        <v>35100000</v>
      </c>
      <c r="C399" s="33" t="s">
        <v>160</v>
      </c>
      <c r="D399" s="33" t="s">
        <v>161</v>
      </c>
      <c r="E399" s="33" t="s">
        <v>162</v>
      </c>
      <c r="F399" s="33" t="s">
        <v>163</v>
      </c>
    </row>
    <row r="400" spans="1:6" ht="15" thickBot="1">
      <c r="A400" s="31">
        <v>4976675</v>
      </c>
      <c r="B400" s="32">
        <v>110000</v>
      </c>
      <c r="C400" s="33" t="s">
        <v>160</v>
      </c>
      <c r="D400" s="33" t="s">
        <v>161</v>
      </c>
      <c r="E400" s="33" t="s">
        <v>162</v>
      </c>
      <c r="F400" s="33" t="s">
        <v>167</v>
      </c>
    </row>
    <row r="401" spans="1:6" ht="15" thickBot="1">
      <c r="A401" s="31">
        <v>4977257</v>
      </c>
      <c r="B401" s="32">
        <v>70000000</v>
      </c>
      <c r="C401" s="33" t="s">
        <v>160</v>
      </c>
      <c r="D401" s="33" t="s">
        <v>161</v>
      </c>
      <c r="E401" s="33" t="s">
        <v>162</v>
      </c>
      <c r="F401" s="33" t="s">
        <v>163</v>
      </c>
    </row>
    <row r="402" spans="1:6" ht="15" thickBot="1">
      <c r="A402" s="31">
        <v>4977264</v>
      </c>
      <c r="B402" s="32">
        <v>60000000</v>
      </c>
      <c r="C402" s="33" t="s">
        <v>160</v>
      </c>
      <c r="D402" s="33" t="s">
        <v>161</v>
      </c>
      <c r="E402" s="33" t="s">
        <v>162</v>
      </c>
      <c r="F402" s="33" t="s">
        <v>163</v>
      </c>
    </row>
    <row r="403" spans="1:6" ht="15" thickBot="1">
      <c r="A403" s="31">
        <v>4985797</v>
      </c>
      <c r="B403" s="32">
        <v>850000000</v>
      </c>
      <c r="C403" s="33" t="s">
        <v>203</v>
      </c>
      <c r="D403" s="33" t="s">
        <v>169</v>
      </c>
      <c r="E403" s="34" t="s">
        <v>170</v>
      </c>
      <c r="F403" s="33" t="s">
        <v>163</v>
      </c>
    </row>
    <row r="404" spans="1:6" ht="15" thickBot="1">
      <c r="A404" s="31">
        <v>5000283</v>
      </c>
      <c r="B404" s="32">
        <v>8900000</v>
      </c>
      <c r="C404" s="33" t="s">
        <v>199</v>
      </c>
      <c r="D404" s="33" t="s">
        <v>200</v>
      </c>
      <c r="E404" s="33" t="s">
        <v>166</v>
      </c>
      <c r="F404" s="33" t="s">
        <v>163</v>
      </c>
    </row>
    <row r="405" spans="1:6" ht="15" thickBot="1">
      <c r="A405" s="31">
        <v>5001565</v>
      </c>
      <c r="B405" s="32">
        <v>5000000</v>
      </c>
      <c r="C405" s="33" t="s">
        <v>172</v>
      </c>
      <c r="D405" s="33" t="s">
        <v>169</v>
      </c>
      <c r="E405" s="34" t="s">
        <v>170</v>
      </c>
      <c r="F405" s="33" t="s">
        <v>163</v>
      </c>
    </row>
    <row r="406" spans="1:6" ht="15" thickBot="1">
      <c r="A406" s="31">
        <v>5004198</v>
      </c>
      <c r="B406" s="32">
        <v>75000</v>
      </c>
      <c r="C406" s="33" t="s">
        <v>160</v>
      </c>
      <c r="D406" s="33" t="s">
        <v>161</v>
      </c>
      <c r="E406" s="33" t="s">
        <v>162</v>
      </c>
      <c r="F406" s="33" t="s">
        <v>167</v>
      </c>
    </row>
    <row r="407" spans="1:6" ht="15" thickBot="1">
      <c r="A407" s="31">
        <v>5015747</v>
      </c>
      <c r="B407" s="32">
        <v>48000000</v>
      </c>
      <c r="C407" s="33" t="s">
        <v>282</v>
      </c>
      <c r="D407" s="33" t="s">
        <v>161</v>
      </c>
      <c r="E407" s="33" t="s">
        <v>162</v>
      </c>
      <c r="F407" s="33" t="s">
        <v>163</v>
      </c>
    </row>
    <row r="408" spans="1:6" ht="15" thickBot="1">
      <c r="A408" s="31">
        <v>5015841</v>
      </c>
      <c r="B408" s="32">
        <v>135000</v>
      </c>
      <c r="C408" s="33" t="s">
        <v>218</v>
      </c>
      <c r="D408" s="33" t="s">
        <v>161</v>
      </c>
      <c r="E408" s="33" t="s">
        <v>162</v>
      </c>
      <c r="F408" s="33" t="s">
        <v>167</v>
      </c>
    </row>
    <row r="409" spans="1:6" ht="15" thickBot="1">
      <c r="A409" s="31">
        <v>5018062</v>
      </c>
      <c r="B409" s="32">
        <v>75000</v>
      </c>
      <c r="C409" s="33" t="s">
        <v>160</v>
      </c>
      <c r="D409" s="33" t="s">
        <v>161</v>
      </c>
      <c r="E409" s="33" t="s">
        <v>162</v>
      </c>
      <c r="F409" s="33" t="s">
        <v>167</v>
      </c>
    </row>
    <row r="410" spans="1:6" ht="15" thickBot="1">
      <c r="A410" s="31">
        <v>5019310</v>
      </c>
      <c r="B410" s="32">
        <v>22500000</v>
      </c>
      <c r="C410" s="33" t="s">
        <v>222</v>
      </c>
      <c r="D410" s="33" t="s">
        <v>174</v>
      </c>
      <c r="E410" s="33" t="s">
        <v>166</v>
      </c>
      <c r="F410" s="33" t="s">
        <v>163</v>
      </c>
    </row>
    <row r="411" spans="1:6" ht="15" thickBot="1">
      <c r="A411" s="31">
        <v>5027258</v>
      </c>
      <c r="B411" s="32">
        <v>50000000</v>
      </c>
      <c r="C411" s="33" t="s">
        <v>282</v>
      </c>
      <c r="D411" s="33" t="s">
        <v>161</v>
      </c>
      <c r="E411" s="33" t="s">
        <v>162</v>
      </c>
      <c r="F411" s="33" t="s">
        <v>163</v>
      </c>
    </row>
    <row r="412" spans="1:6" ht="15" thickBot="1">
      <c r="A412" s="31">
        <v>5028601</v>
      </c>
      <c r="B412" s="32">
        <v>17000000</v>
      </c>
      <c r="C412" s="33" t="s">
        <v>283</v>
      </c>
      <c r="D412" s="33" t="s">
        <v>174</v>
      </c>
      <c r="E412" s="33" t="s">
        <v>166</v>
      </c>
      <c r="F412" s="33" t="s">
        <v>163</v>
      </c>
    </row>
    <row r="413" spans="1:6" ht="15" thickBot="1">
      <c r="A413" s="31">
        <v>5033637</v>
      </c>
      <c r="B413" s="32">
        <v>33000</v>
      </c>
      <c r="C413" s="33" t="s">
        <v>180</v>
      </c>
      <c r="D413" s="33" t="s">
        <v>165</v>
      </c>
      <c r="E413" s="33" t="s">
        <v>166</v>
      </c>
      <c r="F413" s="33" t="s">
        <v>167</v>
      </c>
    </row>
    <row r="414" spans="1:6" ht="15" thickBot="1">
      <c r="A414" s="31">
        <v>5042102</v>
      </c>
      <c r="B414" s="32">
        <v>59500000</v>
      </c>
      <c r="C414" s="33" t="s">
        <v>177</v>
      </c>
      <c r="D414" s="33" t="s">
        <v>174</v>
      </c>
      <c r="E414" s="33" t="s">
        <v>166</v>
      </c>
      <c r="F414" s="33" t="s">
        <v>163</v>
      </c>
    </row>
    <row r="415" spans="1:6" ht="15" thickBot="1">
      <c r="A415" s="31">
        <v>5042734</v>
      </c>
      <c r="B415" s="32">
        <v>39500000</v>
      </c>
      <c r="C415" s="33" t="s">
        <v>177</v>
      </c>
      <c r="D415" s="33" t="s">
        <v>174</v>
      </c>
      <c r="E415" s="33" t="s">
        <v>166</v>
      </c>
      <c r="F415" s="33" t="s">
        <v>163</v>
      </c>
    </row>
    <row r="416" spans="1:6" ht="15" thickBot="1">
      <c r="A416" s="31">
        <v>5075456</v>
      </c>
      <c r="B416" s="32">
        <v>6500000</v>
      </c>
      <c r="C416" s="33" t="s">
        <v>177</v>
      </c>
      <c r="D416" s="33" t="s">
        <v>169</v>
      </c>
      <c r="E416" s="34" t="s">
        <v>170</v>
      </c>
      <c r="F416" s="33" t="s">
        <v>163</v>
      </c>
    </row>
    <row r="417" spans="1:6" ht="15" thickBot="1">
      <c r="A417" s="31">
        <v>5075469</v>
      </c>
      <c r="B417" s="32">
        <v>18500000</v>
      </c>
      <c r="C417" s="33" t="s">
        <v>177</v>
      </c>
      <c r="D417" s="33" t="s">
        <v>169</v>
      </c>
      <c r="E417" s="34" t="s">
        <v>170</v>
      </c>
      <c r="F417" s="33" t="s">
        <v>163</v>
      </c>
    </row>
    <row r="418" spans="1:6" ht="15" thickBot="1">
      <c r="A418" s="31">
        <v>5092270</v>
      </c>
      <c r="B418" s="32">
        <v>4200000</v>
      </c>
      <c r="C418" s="33" t="s">
        <v>177</v>
      </c>
      <c r="D418" s="33" t="s">
        <v>169</v>
      </c>
      <c r="E418" s="34" t="s">
        <v>170</v>
      </c>
      <c r="F418" s="33" t="s">
        <v>163</v>
      </c>
    </row>
    <row r="419" spans="1:6" ht="15" thickBot="1">
      <c r="A419" s="31">
        <v>5122106</v>
      </c>
      <c r="B419" s="32">
        <v>16500000</v>
      </c>
      <c r="C419" s="33" t="s">
        <v>182</v>
      </c>
      <c r="D419" s="33" t="s">
        <v>174</v>
      </c>
      <c r="E419" s="33" t="s">
        <v>166</v>
      </c>
      <c r="F419" s="33" t="s">
        <v>163</v>
      </c>
    </row>
    <row r="420" spans="1:6" ht="15" thickBot="1">
      <c r="A420" s="31">
        <v>5141856</v>
      </c>
      <c r="B420" s="32">
        <v>55000</v>
      </c>
      <c r="C420" s="33" t="s">
        <v>160</v>
      </c>
      <c r="D420" s="33" t="s">
        <v>161</v>
      </c>
      <c r="E420" s="33" t="s">
        <v>162</v>
      </c>
      <c r="F420" s="33" t="s">
        <v>167</v>
      </c>
    </row>
    <row r="421" spans="1:6" ht="15" thickBot="1">
      <c r="A421" s="31">
        <v>5148730</v>
      </c>
      <c r="B421" s="32">
        <v>68000</v>
      </c>
      <c r="C421" s="33" t="s">
        <v>184</v>
      </c>
      <c r="D421" s="33" t="s">
        <v>161</v>
      </c>
      <c r="E421" s="33" t="s">
        <v>162</v>
      </c>
      <c r="F421" s="33" t="s">
        <v>167</v>
      </c>
    </row>
    <row r="422" spans="1:6" ht="15" thickBot="1">
      <c r="A422" s="31">
        <v>5157443</v>
      </c>
      <c r="B422" s="32">
        <v>15500000</v>
      </c>
      <c r="C422" s="33" t="s">
        <v>217</v>
      </c>
      <c r="D422" s="33" t="s">
        <v>169</v>
      </c>
      <c r="E422" s="34" t="s">
        <v>170</v>
      </c>
      <c r="F422" s="33" t="s">
        <v>163</v>
      </c>
    </row>
    <row r="423" spans="1:6" ht="15" thickBot="1">
      <c r="A423" s="31">
        <v>5164651</v>
      </c>
      <c r="B423" s="32">
        <v>7000000</v>
      </c>
      <c r="C423" s="33" t="s">
        <v>221</v>
      </c>
      <c r="D423" s="33" t="s">
        <v>169</v>
      </c>
      <c r="E423" s="34" t="s">
        <v>170</v>
      </c>
      <c r="F423" s="33" t="s">
        <v>163</v>
      </c>
    </row>
    <row r="424" spans="1:6" ht="15" thickBot="1">
      <c r="A424" s="31">
        <v>5172784</v>
      </c>
      <c r="B424" s="32">
        <v>110000000</v>
      </c>
      <c r="C424" s="33" t="s">
        <v>196</v>
      </c>
      <c r="D424" s="33" t="s">
        <v>161</v>
      </c>
      <c r="E424" s="33" t="s">
        <v>162</v>
      </c>
      <c r="F424" s="33" t="s">
        <v>163</v>
      </c>
    </row>
    <row r="425" spans="1:6" ht="15" thickBot="1">
      <c r="A425" s="31">
        <v>5174345</v>
      </c>
      <c r="B425" s="32">
        <v>13000000</v>
      </c>
      <c r="C425" s="33" t="s">
        <v>206</v>
      </c>
      <c r="D425" s="33" t="s">
        <v>174</v>
      </c>
      <c r="E425" s="33" t="s">
        <v>166</v>
      </c>
      <c r="F425" s="33" t="s">
        <v>163</v>
      </c>
    </row>
    <row r="426" spans="1:6" ht="15" thickBot="1">
      <c r="A426" s="31">
        <v>5184682</v>
      </c>
      <c r="B426" s="32">
        <v>105000000</v>
      </c>
      <c r="C426" s="33" t="s">
        <v>198</v>
      </c>
      <c r="D426" s="33" t="s">
        <v>169</v>
      </c>
      <c r="E426" s="34" t="s">
        <v>170</v>
      </c>
      <c r="F426" s="33" t="s">
        <v>163</v>
      </c>
    </row>
    <row r="427" spans="1:6" ht="15" thickBot="1">
      <c r="A427" s="31">
        <v>5194902</v>
      </c>
      <c r="B427" s="32">
        <v>60000</v>
      </c>
      <c r="C427" s="33" t="s">
        <v>177</v>
      </c>
      <c r="D427" s="33" t="s">
        <v>169</v>
      </c>
      <c r="E427" s="34" t="s">
        <v>170</v>
      </c>
      <c r="F427" s="33" t="s">
        <v>167</v>
      </c>
    </row>
    <row r="428" spans="1:6" ht="15" thickBot="1">
      <c r="A428" s="31">
        <v>5206268</v>
      </c>
      <c r="B428" s="32">
        <v>110000</v>
      </c>
      <c r="C428" s="33" t="s">
        <v>177</v>
      </c>
      <c r="D428" s="33" t="s">
        <v>169</v>
      </c>
      <c r="E428" s="34" t="s">
        <v>170</v>
      </c>
      <c r="F428" s="33" t="s">
        <v>167</v>
      </c>
    </row>
    <row r="429" spans="1:6" ht="15" thickBot="1">
      <c r="A429" s="31">
        <v>5207423</v>
      </c>
      <c r="B429" s="32">
        <v>60000000</v>
      </c>
      <c r="C429" s="33" t="s">
        <v>284</v>
      </c>
      <c r="D429" s="33" t="s">
        <v>174</v>
      </c>
      <c r="E429" s="33" t="s">
        <v>166</v>
      </c>
      <c r="F429" s="33" t="s">
        <v>163</v>
      </c>
    </row>
    <row r="430" spans="1:6" ht="15" thickBot="1">
      <c r="A430" s="31">
        <v>5209949</v>
      </c>
      <c r="B430" s="32">
        <v>110000</v>
      </c>
      <c r="C430" s="33" t="s">
        <v>160</v>
      </c>
      <c r="D430" s="33" t="s">
        <v>161</v>
      </c>
      <c r="E430" s="33" t="s">
        <v>162</v>
      </c>
      <c r="F430" s="33" t="s">
        <v>167</v>
      </c>
    </row>
    <row r="431" spans="1:6" ht="15" thickBot="1">
      <c r="A431" s="31">
        <v>5220077</v>
      </c>
      <c r="B431" s="32">
        <v>12500000</v>
      </c>
      <c r="C431" s="33" t="s">
        <v>285</v>
      </c>
      <c r="D431" s="33" t="s">
        <v>161</v>
      </c>
      <c r="E431" s="33" t="s">
        <v>162</v>
      </c>
      <c r="F431" s="33" t="s">
        <v>163</v>
      </c>
    </row>
    <row r="432" spans="1:6" ht="29" thickBot="1">
      <c r="A432" s="31">
        <v>5220102</v>
      </c>
      <c r="B432" s="32">
        <v>9205000</v>
      </c>
      <c r="C432" s="33" t="s">
        <v>286</v>
      </c>
      <c r="D432" s="33" t="s">
        <v>161</v>
      </c>
      <c r="E432" s="33" t="s">
        <v>162</v>
      </c>
      <c r="F432" s="33" t="s">
        <v>163</v>
      </c>
    </row>
    <row r="433" spans="1:6" ht="15" thickBot="1">
      <c r="A433" s="31">
        <v>5222437</v>
      </c>
      <c r="B433" s="32">
        <v>175000000</v>
      </c>
      <c r="C433" s="33" t="s">
        <v>222</v>
      </c>
      <c r="D433" s="33" t="s">
        <v>174</v>
      </c>
      <c r="E433" s="33" t="s">
        <v>166</v>
      </c>
      <c r="F433" s="33" t="s">
        <v>163</v>
      </c>
    </row>
    <row r="434" spans="1:6" ht="15" thickBot="1">
      <c r="A434" s="31">
        <v>5231804</v>
      </c>
      <c r="B434" s="32">
        <v>130000000</v>
      </c>
      <c r="C434" s="33" t="s">
        <v>262</v>
      </c>
      <c r="D434" s="33" t="s">
        <v>169</v>
      </c>
      <c r="E434" s="34" t="s">
        <v>170</v>
      </c>
      <c r="F434" s="33" t="s">
        <v>163</v>
      </c>
    </row>
    <row r="435" spans="1:6" ht="15" thickBot="1">
      <c r="A435" s="31">
        <v>5232518</v>
      </c>
      <c r="B435" s="32">
        <v>17500000</v>
      </c>
      <c r="C435" s="33" t="s">
        <v>287</v>
      </c>
      <c r="D435" s="33" t="s">
        <v>165</v>
      </c>
      <c r="E435" s="33" t="s">
        <v>166</v>
      </c>
      <c r="F435" s="33" t="s">
        <v>163</v>
      </c>
    </row>
    <row r="436" spans="1:6" ht="15" thickBot="1">
      <c r="A436" s="31">
        <v>5248798</v>
      </c>
      <c r="B436" s="32">
        <v>110000000</v>
      </c>
      <c r="C436" s="33" t="s">
        <v>177</v>
      </c>
      <c r="D436" s="33" t="s">
        <v>174</v>
      </c>
      <c r="E436" s="33" t="s">
        <v>166</v>
      </c>
      <c r="F436" s="33" t="s">
        <v>163</v>
      </c>
    </row>
    <row r="437" spans="1:6" ht="15" thickBot="1">
      <c r="A437" s="31">
        <v>5254741</v>
      </c>
      <c r="B437" s="32">
        <v>47000000</v>
      </c>
      <c r="C437" s="33" t="s">
        <v>177</v>
      </c>
      <c r="D437" s="33" t="s">
        <v>174</v>
      </c>
      <c r="E437" s="33" t="s">
        <v>166</v>
      </c>
      <c r="F437" s="33" t="s">
        <v>163</v>
      </c>
    </row>
    <row r="438" spans="1:6" ht="15" thickBot="1">
      <c r="A438" s="31">
        <v>5270691</v>
      </c>
      <c r="B438" s="32">
        <v>54000000</v>
      </c>
      <c r="C438" s="33" t="s">
        <v>182</v>
      </c>
      <c r="D438" s="33" t="s">
        <v>174</v>
      </c>
      <c r="E438" s="33" t="s">
        <v>166</v>
      </c>
      <c r="F438" s="33" t="s">
        <v>163</v>
      </c>
    </row>
    <row r="439" spans="1:6" ht="15" thickBot="1">
      <c r="A439" s="31">
        <v>5270708</v>
      </c>
      <c r="B439" s="32">
        <v>53500000</v>
      </c>
      <c r="C439" s="33" t="s">
        <v>182</v>
      </c>
      <c r="D439" s="33" t="s">
        <v>174</v>
      </c>
      <c r="E439" s="33" t="s">
        <v>166</v>
      </c>
      <c r="F439" s="33" t="s">
        <v>163</v>
      </c>
    </row>
    <row r="440" spans="1:6" ht="15" thickBot="1">
      <c r="A440" s="31">
        <v>5270731</v>
      </c>
      <c r="B440" s="32">
        <v>34500000</v>
      </c>
      <c r="C440" s="33" t="s">
        <v>182</v>
      </c>
      <c r="D440" s="33" t="s">
        <v>174</v>
      </c>
      <c r="E440" s="33" t="s">
        <v>166</v>
      </c>
      <c r="F440" s="33" t="s">
        <v>163</v>
      </c>
    </row>
    <row r="441" spans="1:6" ht="15" thickBot="1">
      <c r="A441" s="31">
        <v>5271225</v>
      </c>
      <c r="B441" s="32">
        <v>57500000</v>
      </c>
      <c r="C441" s="33" t="s">
        <v>177</v>
      </c>
      <c r="D441" s="33" t="s">
        <v>174</v>
      </c>
      <c r="E441" s="33" t="s">
        <v>166</v>
      </c>
      <c r="F441" s="33" t="s">
        <v>163</v>
      </c>
    </row>
    <row r="442" spans="1:6" ht="15" thickBot="1">
      <c r="A442" s="31">
        <v>5273147</v>
      </c>
      <c r="B442" s="32">
        <v>55000</v>
      </c>
      <c r="C442" s="33" t="s">
        <v>205</v>
      </c>
      <c r="D442" s="33" t="s">
        <v>161</v>
      </c>
      <c r="E442" s="33" t="s">
        <v>162</v>
      </c>
      <c r="F442" s="33" t="s">
        <v>167</v>
      </c>
    </row>
    <row r="443" spans="1:6" ht="15" thickBot="1">
      <c r="A443" s="31">
        <v>5291474</v>
      </c>
      <c r="B443" s="32">
        <v>6100000</v>
      </c>
      <c r="C443" s="33" t="s">
        <v>196</v>
      </c>
      <c r="D443" s="33" t="s">
        <v>161</v>
      </c>
      <c r="E443" s="33" t="s">
        <v>162</v>
      </c>
      <c r="F443" s="33" t="s">
        <v>163</v>
      </c>
    </row>
    <row r="444" spans="1:6" ht="15" thickBot="1">
      <c r="A444" s="31">
        <v>5292644</v>
      </c>
      <c r="B444" s="32">
        <v>45000000</v>
      </c>
      <c r="C444" s="33" t="s">
        <v>160</v>
      </c>
      <c r="D444" s="33" t="s">
        <v>174</v>
      </c>
      <c r="E444" s="33" t="s">
        <v>166</v>
      </c>
      <c r="F444" s="33" t="s">
        <v>163</v>
      </c>
    </row>
    <row r="445" spans="1:6" ht="15" thickBot="1">
      <c r="A445" s="31">
        <v>5293822</v>
      </c>
      <c r="B445" s="32">
        <v>45000000</v>
      </c>
      <c r="C445" s="33" t="s">
        <v>204</v>
      </c>
      <c r="D445" s="33" t="s">
        <v>174</v>
      </c>
      <c r="E445" s="33" t="s">
        <v>166</v>
      </c>
      <c r="F445" s="33" t="s">
        <v>163</v>
      </c>
    </row>
    <row r="446" spans="1:6" ht="29" thickBot="1">
      <c r="A446" s="31">
        <v>5299655</v>
      </c>
      <c r="B446" s="32">
        <v>30000000</v>
      </c>
      <c r="C446" s="33" t="s">
        <v>288</v>
      </c>
      <c r="D446" s="33" t="s">
        <v>174</v>
      </c>
      <c r="E446" s="33" t="s">
        <v>166</v>
      </c>
      <c r="F446" s="33" t="s">
        <v>163</v>
      </c>
    </row>
    <row r="447" spans="1:6" ht="15" thickBot="1">
      <c r="A447" s="31">
        <v>5310719</v>
      </c>
      <c r="B447" s="32">
        <v>42000000</v>
      </c>
      <c r="C447" s="33" t="s">
        <v>177</v>
      </c>
      <c r="D447" s="33" t="s">
        <v>174</v>
      </c>
      <c r="E447" s="33" t="s">
        <v>166</v>
      </c>
      <c r="F447" s="33" t="s">
        <v>163</v>
      </c>
    </row>
    <row r="448" spans="1:6" ht="15" thickBot="1">
      <c r="A448" s="31">
        <v>5322505</v>
      </c>
      <c r="B448" s="32">
        <v>42800000</v>
      </c>
      <c r="C448" s="33" t="s">
        <v>177</v>
      </c>
      <c r="D448" s="33" t="s">
        <v>174</v>
      </c>
      <c r="E448" s="33" t="s">
        <v>166</v>
      </c>
      <c r="F448" s="33" t="s">
        <v>163</v>
      </c>
    </row>
    <row r="449" spans="1:6" ht="15" thickBot="1">
      <c r="A449" s="31">
        <v>5323034</v>
      </c>
      <c r="B449" s="32">
        <v>46000000</v>
      </c>
      <c r="C449" s="33" t="s">
        <v>177</v>
      </c>
      <c r="D449" s="33" t="s">
        <v>174</v>
      </c>
      <c r="E449" s="33" t="s">
        <v>166</v>
      </c>
      <c r="F449" s="33" t="s">
        <v>163</v>
      </c>
    </row>
    <row r="450" spans="1:6" ht="15" thickBot="1">
      <c r="A450" s="31">
        <v>5334452</v>
      </c>
      <c r="B450" s="32">
        <v>150000000</v>
      </c>
      <c r="C450" s="33" t="s">
        <v>196</v>
      </c>
      <c r="D450" s="33" t="s">
        <v>161</v>
      </c>
      <c r="E450" s="33" t="s">
        <v>162</v>
      </c>
      <c r="F450" s="33" t="s">
        <v>163</v>
      </c>
    </row>
    <row r="451" spans="1:6" ht="15" thickBot="1">
      <c r="A451" s="31">
        <v>5340712</v>
      </c>
      <c r="B451" s="32">
        <v>4500000</v>
      </c>
      <c r="C451" s="33" t="s">
        <v>289</v>
      </c>
      <c r="D451" s="33" t="s">
        <v>174</v>
      </c>
      <c r="E451" s="33" t="s">
        <v>166</v>
      </c>
      <c r="F451" s="33" t="s">
        <v>163</v>
      </c>
    </row>
    <row r="452" spans="1:6" ht="15" thickBot="1">
      <c r="A452" s="31">
        <v>5341097</v>
      </c>
      <c r="B452" s="32">
        <v>23500000</v>
      </c>
      <c r="C452" s="33" t="s">
        <v>180</v>
      </c>
      <c r="D452" s="33" t="s">
        <v>165</v>
      </c>
      <c r="E452" s="33" t="s">
        <v>166</v>
      </c>
      <c r="F452" s="33" t="s">
        <v>163</v>
      </c>
    </row>
    <row r="453" spans="1:6" ht="15" thickBot="1">
      <c r="A453" s="31">
        <v>5359816</v>
      </c>
      <c r="B453" s="32">
        <v>27900000</v>
      </c>
      <c r="C453" s="33" t="s">
        <v>275</v>
      </c>
      <c r="D453" s="33" t="s">
        <v>169</v>
      </c>
      <c r="E453" s="34" t="s">
        <v>170</v>
      </c>
      <c r="F453" s="33" t="s">
        <v>163</v>
      </c>
    </row>
    <row r="454" spans="1:6" ht="15" thickBot="1">
      <c r="A454" s="31">
        <v>5360448</v>
      </c>
      <c r="B454" s="32">
        <v>18400000</v>
      </c>
      <c r="C454" s="33" t="s">
        <v>275</v>
      </c>
      <c r="D454" s="33" t="s">
        <v>169</v>
      </c>
      <c r="E454" s="34" t="s">
        <v>170</v>
      </c>
      <c r="F454" s="33" t="s">
        <v>163</v>
      </c>
    </row>
    <row r="455" spans="1:6" ht="15" thickBot="1">
      <c r="A455" s="31">
        <v>5365656</v>
      </c>
      <c r="B455" s="32">
        <v>11500000</v>
      </c>
      <c r="C455" s="33" t="s">
        <v>225</v>
      </c>
      <c r="D455" s="33" t="s">
        <v>165</v>
      </c>
      <c r="E455" s="33" t="s">
        <v>166</v>
      </c>
      <c r="F455" s="33" t="s">
        <v>163</v>
      </c>
    </row>
    <row r="456" spans="1:6" ht="15" thickBot="1">
      <c r="A456" s="31">
        <v>5365660</v>
      </c>
      <c r="B456" s="32">
        <v>27100000</v>
      </c>
      <c r="C456" s="33" t="s">
        <v>275</v>
      </c>
      <c r="D456" s="33" t="s">
        <v>169</v>
      </c>
      <c r="E456" s="34" t="s">
        <v>170</v>
      </c>
      <c r="F456" s="33" t="s">
        <v>163</v>
      </c>
    </row>
    <row r="457" spans="1:6" ht="15" thickBot="1">
      <c r="A457" s="31">
        <v>5368039</v>
      </c>
      <c r="B457" s="32">
        <v>25000</v>
      </c>
      <c r="C457" s="33" t="s">
        <v>279</v>
      </c>
      <c r="D457" s="33" t="s">
        <v>161</v>
      </c>
      <c r="E457" s="33" t="s">
        <v>162</v>
      </c>
      <c r="F457" s="33" t="s">
        <v>167</v>
      </c>
    </row>
    <row r="458" spans="1:6" ht="15" thickBot="1">
      <c r="A458" s="31">
        <v>5371079</v>
      </c>
      <c r="B458" s="32">
        <v>110000000</v>
      </c>
      <c r="C458" s="33" t="s">
        <v>279</v>
      </c>
      <c r="D458" s="33" t="s">
        <v>161</v>
      </c>
      <c r="E458" s="33" t="s">
        <v>162</v>
      </c>
      <c r="F458" s="33" t="s">
        <v>163</v>
      </c>
    </row>
    <row r="459" spans="1:6" ht="15" thickBot="1">
      <c r="A459" s="31">
        <v>5378066</v>
      </c>
      <c r="B459" s="32">
        <v>21000000</v>
      </c>
      <c r="C459" s="33" t="s">
        <v>185</v>
      </c>
      <c r="D459" s="33" t="s">
        <v>174</v>
      </c>
      <c r="E459" s="33" t="s">
        <v>166</v>
      </c>
      <c r="F459" s="33" t="s">
        <v>163</v>
      </c>
    </row>
    <row r="460" spans="1:6" ht="15" thickBot="1">
      <c r="A460" s="31">
        <v>5382674</v>
      </c>
      <c r="B460" s="32">
        <v>650000</v>
      </c>
      <c r="C460" s="33" t="s">
        <v>191</v>
      </c>
      <c r="D460" s="33" t="s">
        <v>169</v>
      </c>
      <c r="E460" s="34" t="s">
        <v>170</v>
      </c>
      <c r="F460" s="33" t="s">
        <v>167</v>
      </c>
    </row>
    <row r="461" spans="1:6" ht="15" thickBot="1">
      <c r="A461" s="31">
        <v>5391293</v>
      </c>
      <c r="B461" s="32">
        <v>18000</v>
      </c>
      <c r="C461" s="33" t="s">
        <v>171</v>
      </c>
      <c r="D461" s="33" t="s">
        <v>161</v>
      </c>
      <c r="E461" s="33" t="s">
        <v>162</v>
      </c>
      <c r="F461" s="33" t="s">
        <v>167</v>
      </c>
    </row>
    <row r="462" spans="1:6" ht="15" thickBot="1">
      <c r="A462" s="31">
        <v>5395928</v>
      </c>
      <c r="B462" s="32">
        <v>13000000</v>
      </c>
      <c r="C462" s="33" t="s">
        <v>164</v>
      </c>
      <c r="D462" s="33" t="s">
        <v>165</v>
      </c>
      <c r="E462" s="33" t="s">
        <v>166</v>
      </c>
      <c r="F462" s="33" t="s">
        <v>163</v>
      </c>
    </row>
    <row r="463" spans="1:6" ht="15" thickBot="1">
      <c r="A463" s="31">
        <v>5404521</v>
      </c>
      <c r="B463" s="32">
        <v>67500000</v>
      </c>
      <c r="C463" s="33" t="s">
        <v>177</v>
      </c>
      <c r="D463" s="33" t="s">
        <v>174</v>
      </c>
      <c r="E463" s="33" t="s">
        <v>166</v>
      </c>
      <c r="F463" s="33" t="s">
        <v>163</v>
      </c>
    </row>
    <row r="464" spans="1:6" ht="15" thickBot="1">
      <c r="A464" s="31">
        <v>5415337</v>
      </c>
      <c r="B464" s="32">
        <v>57500000</v>
      </c>
      <c r="C464" s="33" t="s">
        <v>177</v>
      </c>
      <c r="D464" s="33" t="s">
        <v>174</v>
      </c>
      <c r="E464" s="33" t="s">
        <v>166</v>
      </c>
      <c r="F464" s="33" t="s">
        <v>163</v>
      </c>
    </row>
    <row r="465" spans="1:6" ht="15" thickBot="1">
      <c r="A465" s="31">
        <v>5415958</v>
      </c>
      <c r="B465" s="32">
        <v>59000000</v>
      </c>
      <c r="C465" s="33" t="s">
        <v>177</v>
      </c>
      <c r="D465" s="33" t="s">
        <v>174</v>
      </c>
      <c r="E465" s="33" t="s">
        <v>166</v>
      </c>
      <c r="F465" s="33" t="s">
        <v>163</v>
      </c>
    </row>
    <row r="466" spans="1:6" ht="29" thickBot="1">
      <c r="A466" s="31">
        <v>5416999</v>
      </c>
      <c r="B466" s="32">
        <v>110000000</v>
      </c>
      <c r="C466" s="33" t="s">
        <v>261</v>
      </c>
      <c r="D466" s="33" t="s">
        <v>161</v>
      </c>
      <c r="E466" s="33" t="s">
        <v>162</v>
      </c>
      <c r="F466" s="33" t="s">
        <v>163</v>
      </c>
    </row>
    <row r="467" spans="1:6" ht="15" thickBot="1">
      <c r="A467" s="31">
        <v>5437906</v>
      </c>
      <c r="B467" s="32">
        <v>120000</v>
      </c>
      <c r="C467" s="33" t="s">
        <v>177</v>
      </c>
      <c r="D467" s="33" t="s">
        <v>169</v>
      </c>
      <c r="E467" s="34" t="s">
        <v>170</v>
      </c>
      <c r="F467" s="33" t="s">
        <v>167</v>
      </c>
    </row>
    <row r="468" spans="1:6" ht="15" thickBot="1">
      <c r="A468" s="31">
        <v>5442936</v>
      </c>
      <c r="B468" s="32">
        <v>20500</v>
      </c>
      <c r="C468" s="33" t="s">
        <v>290</v>
      </c>
      <c r="D468" s="33" t="s">
        <v>169</v>
      </c>
      <c r="E468" s="34" t="s">
        <v>170</v>
      </c>
      <c r="F468" s="33" t="s">
        <v>167</v>
      </c>
    </row>
    <row r="469" spans="1:6" ht="15" thickBot="1">
      <c r="A469" s="31">
        <v>5457608</v>
      </c>
      <c r="B469" s="32">
        <v>9500000</v>
      </c>
      <c r="C469" s="33" t="s">
        <v>279</v>
      </c>
      <c r="D469" s="33" t="s">
        <v>161</v>
      </c>
      <c r="E469" s="33" t="s">
        <v>162</v>
      </c>
      <c r="F469" s="33" t="s">
        <v>163</v>
      </c>
    </row>
    <row r="470" spans="1:6" ht="29" thickBot="1">
      <c r="A470" s="31">
        <v>5463432</v>
      </c>
      <c r="B470" s="32">
        <v>13500000</v>
      </c>
      <c r="C470" s="33" t="s">
        <v>288</v>
      </c>
      <c r="D470" s="33" t="s">
        <v>174</v>
      </c>
      <c r="E470" s="33" t="s">
        <v>166</v>
      </c>
      <c r="F470" s="33" t="s">
        <v>163</v>
      </c>
    </row>
    <row r="471" spans="1:6" ht="15" thickBot="1">
      <c r="A471" s="31">
        <v>5464825</v>
      </c>
      <c r="B471" s="32">
        <v>10500000</v>
      </c>
      <c r="C471" s="33" t="s">
        <v>180</v>
      </c>
      <c r="D471" s="33" t="s">
        <v>165</v>
      </c>
      <c r="E471" s="33" t="s">
        <v>166</v>
      </c>
      <c r="F471" s="33" t="s">
        <v>163</v>
      </c>
    </row>
    <row r="472" spans="1:6" ht="29" thickBot="1">
      <c r="A472" s="31">
        <v>5480681</v>
      </c>
      <c r="B472" s="32">
        <v>3500000</v>
      </c>
      <c r="C472" s="33" t="s">
        <v>229</v>
      </c>
      <c r="D472" s="33" t="s">
        <v>161</v>
      </c>
      <c r="E472" s="33" t="s">
        <v>162</v>
      </c>
      <c r="F472" s="33" t="s">
        <v>163</v>
      </c>
    </row>
    <row r="473" spans="1:6" ht="15" thickBot="1">
      <c r="A473" s="31">
        <v>5481174</v>
      </c>
      <c r="B473" s="32">
        <v>7000000</v>
      </c>
      <c r="C473" s="33" t="s">
        <v>206</v>
      </c>
      <c r="D473" s="33" t="s">
        <v>174</v>
      </c>
      <c r="E473" s="33" t="s">
        <v>166</v>
      </c>
      <c r="F473" s="33" t="s">
        <v>163</v>
      </c>
    </row>
    <row r="474" spans="1:6" ht="15" thickBot="1">
      <c r="A474" s="31">
        <v>5484129</v>
      </c>
      <c r="B474" s="32">
        <v>85000</v>
      </c>
      <c r="C474" s="33" t="s">
        <v>282</v>
      </c>
      <c r="D474" s="33" t="s">
        <v>161</v>
      </c>
      <c r="E474" s="33" t="s">
        <v>162</v>
      </c>
      <c r="F474" s="33" t="s">
        <v>167</v>
      </c>
    </row>
    <row r="475" spans="1:6" ht="15" thickBot="1">
      <c r="A475" s="31">
        <v>5493171</v>
      </c>
      <c r="B475" s="32">
        <v>40000000</v>
      </c>
      <c r="C475" s="33" t="s">
        <v>291</v>
      </c>
      <c r="D475" s="33" t="s">
        <v>161</v>
      </c>
      <c r="E475" s="33" t="s">
        <v>162</v>
      </c>
      <c r="F475" s="33" t="s">
        <v>163</v>
      </c>
    </row>
    <row r="476" spans="1:6" ht="15" thickBot="1">
      <c r="A476" s="31">
        <v>5493254</v>
      </c>
      <c r="B476" s="32">
        <v>200000</v>
      </c>
      <c r="C476" s="33" t="s">
        <v>292</v>
      </c>
      <c r="D476" s="33" t="s">
        <v>165</v>
      </c>
      <c r="E476" s="33" t="s">
        <v>166</v>
      </c>
      <c r="F476" s="33" t="s">
        <v>167</v>
      </c>
    </row>
    <row r="477" spans="1:6" ht="15" thickBot="1">
      <c r="A477" s="31">
        <v>5499394</v>
      </c>
      <c r="B477" s="32">
        <v>9000000</v>
      </c>
      <c r="C477" s="33" t="s">
        <v>242</v>
      </c>
      <c r="D477" s="33" t="s">
        <v>174</v>
      </c>
      <c r="E477" s="33" t="s">
        <v>166</v>
      </c>
      <c r="F477" s="33" t="s">
        <v>163</v>
      </c>
    </row>
    <row r="478" spans="1:6" ht="15" thickBot="1">
      <c r="A478" s="31">
        <v>5503427</v>
      </c>
      <c r="B478" s="32">
        <v>200000</v>
      </c>
      <c r="C478" s="33" t="s">
        <v>292</v>
      </c>
      <c r="D478" s="33" t="s">
        <v>165</v>
      </c>
      <c r="E478" s="33" t="s">
        <v>166</v>
      </c>
      <c r="F478" s="33" t="s">
        <v>167</v>
      </c>
    </row>
    <row r="479" spans="1:6" ht="15" thickBot="1">
      <c r="A479" s="31">
        <v>5505069</v>
      </c>
      <c r="B479" s="32">
        <v>31000000</v>
      </c>
      <c r="C479" s="33" t="s">
        <v>264</v>
      </c>
      <c r="D479" s="33" t="s">
        <v>169</v>
      </c>
      <c r="E479" s="34" t="s">
        <v>170</v>
      </c>
      <c r="F479" s="33" t="s">
        <v>163</v>
      </c>
    </row>
    <row r="480" spans="1:6" ht="15" thickBot="1">
      <c r="A480" s="31">
        <v>5505085</v>
      </c>
      <c r="B480" s="32">
        <v>23000</v>
      </c>
      <c r="C480" s="33" t="s">
        <v>184</v>
      </c>
      <c r="D480" s="33" t="s">
        <v>161</v>
      </c>
      <c r="E480" s="33" t="s">
        <v>162</v>
      </c>
      <c r="F480" s="33" t="s">
        <v>167</v>
      </c>
    </row>
    <row r="481" spans="1:6" ht="15" thickBot="1">
      <c r="A481" s="31">
        <v>5517491</v>
      </c>
      <c r="B481" s="32">
        <v>70000000</v>
      </c>
      <c r="C481" s="33" t="s">
        <v>160</v>
      </c>
      <c r="D481" s="33" t="s">
        <v>161</v>
      </c>
      <c r="E481" s="33" t="s">
        <v>162</v>
      </c>
      <c r="F481" s="33" t="s">
        <v>163</v>
      </c>
    </row>
    <row r="482" spans="1:6" ht="15" thickBot="1">
      <c r="A482" s="31">
        <v>5518699</v>
      </c>
      <c r="B482" s="32">
        <v>45000000</v>
      </c>
      <c r="C482" s="33" t="s">
        <v>177</v>
      </c>
      <c r="D482" s="33" t="s">
        <v>174</v>
      </c>
      <c r="E482" s="33" t="s">
        <v>166</v>
      </c>
      <c r="F482" s="33" t="s">
        <v>163</v>
      </c>
    </row>
    <row r="483" spans="1:6" ht="15" thickBot="1">
      <c r="A483" s="31">
        <v>5519354</v>
      </c>
      <c r="B483" s="32">
        <v>17000</v>
      </c>
      <c r="C483" s="33" t="s">
        <v>177</v>
      </c>
      <c r="D483" s="33" t="s">
        <v>169</v>
      </c>
      <c r="E483" s="34" t="s">
        <v>170</v>
      </c>
      <c r="F483" s="33" t="s">
        <v>167</v>
      </c>
    </row>
    <row r="484" spans="1:6" ht="15" thickBot="1">
      <c r="A484" s="31">
        <v>5527291</v>
      </c>
      <c r="B484" s="32">
        <v>22000000</v>
      </c>
      <c r="C484" s="33" t="s">
        <v>177</v>
      </c>
      <c r="D484" s="33" t="s">
        <v>161</v>
      </c>
      <c r="E484" s="33" t="s">
        <v>162</v>
      </c>
      <c r="F484" s="33" t="s">
        <v>163</v>
      </c>
    </row>
    <row r="485" spans="1:6" ht="15" thickBot="1">
      <c r="A485" s="31">
        <v>5528861</v>
      </c>
      <c r="B485" s="32">
        <v>32000000</v>
      </c>
      <c r="C485" s="33" t="s">
        <v>293</v>
      </c>
      <c r="D485" s="33" t="s">
        <v>161</v>
      </c>
      <c r="E485" s="33" t="s">
        <v>162</v>
      </c>
      <c r="F485" s="33" t="s">
        <v>163</v>
      </c>
    </row>
    <row r="486" spans="1:6" ht="15" thickBot="1">
      <c r="A486" s="31">
        <v>5528867</v>
      </c>
      <c r="B486" s="32">
        <v>70000000</v>
      </c>
      <c r="C486" s="33" t="s">
        <v>294</v>
      </c>
      <c r="D486" s="33" t="s">
        <v>161</v>
      </c>
      <c r="E486" s="33" t="s">
        <v>162</v>
      </c>
      <c r="F486" s="33" t="s">
        <v>163</v>
      </c>
    </row>
    <row r="487" spans="1:6" ht="15" thickBot="1">
      <c r="A487" s="31">
        <v>5529149</v>
      </c>
      <c r="B487" s="32">
        <v>8500000</v>
      </c>
      <c r="C487" s="33" t="s">
        <v>211</v>
      </c>
      <c r="D487" s="33" t="s">
        <v>161</v>
      </c>
      <c r="E487" s="33" t="s">
        <v>162</v>
      </c>
      <c r="F487" s="33" t="s">
        <v>163</v>
      </c>
    </row>
    <row r="488" spans="1:6" ht="15" thickBot="1">
      <c r="A488" s="31">
        <v>5553948</v>
      </c>
      <c r="B488" s="32">
        <v>5100000</v>
      </c>
      <c r="C488" s="33" t="s">
        <v>204</v>
      </c>
      <c r="D488" s="33" t="s">
        <v>174</v>
      </c>
      <c r="E488" s="33" t="s">
        <v>166</v>
      </c>
      <c r="F488" s="33" t="s">
        <v>163</v>
      </c>
    </row>
    <row r="489" spans="1:6" ht="29" thickBot="1">
      <c r="A489" s="31">
        <v>5571808</v>
      </c>
      <c r="B489" s="32">
        <v>55000</v>
      </c>
      <c r="C489" s="33" t="s">
        <v>295</v>
      </c>
      <c r="D489" s="33" t="s">
        <v>169</v>
      </c>
      <c r="E489" s="34" t="s">
        <v>170</v>
      </c>
      <c r="F489" s="33" t="s">
        <v>167</v>
      </c>
    </row>
    <row r="490" spans="1:6" ht="15" thickBot="1">
      <c r="A490" s="31">
        <v>5578552</v>
      </c>
      <c r="B490" s="32">
        <v>14000000</v>
      </c>
      <c r="C490" s="33" t="s">
        <v>247</v>
      </c>
      <c r="D490" s="33" t="s">
        <v>161</v>
      </c>
      <c r="E490" s="33" t="s">
        <v>162</v>
      </c>
      <c r="F490" s="33" t="s">
        <v>163</v>
      </c>
    </row>
    <row r="491" spans="1:6" ht="15" thickBot="1">
      <c r="A491" s="31">
        <v>5598037</v>
      </c>
      <c r="B491" s="32">
        <v>49500000</v>
      </c>
      <c r="C491" s="33" t="s">
        <v>184</v>
      </c>
      <c r="D491" s="33" t="s">
        <v>161</v>
      </c>
      <c r="E491" s="33" t="s">
        <v>162</v>
      </c>
      <c r="F491" s="33" t="s">
        <v>163</v>
      </c>
    </row>
    <row r="492" spans="1:6" ht="15" thickBot="1">
      <c r="A492" s="31">
        <v>5614095</v>
      </c>
      <c r="B492" s="32">
        <v>12500000</v>
      </c>
      <c r="C492" s="33" t="s">
        <v>204</v>
      </c>
      <c r="D492" s="33" t="s">
        <v>174</v>
      </c>
      <c r="E492" s="33" t="s">
        <v>166</v>
      </c>
      <c r="F492" s="33" t="s">
        <v>163</v>
      </c>
    </row>
    <row r="493" spans="1:6" ht="15" thickBot="1">
      <c r="A493" s="31">
        <v>5614355</v>
      </c>
      <c r="B493" s="32">
        <v>12500000</v>
      </c>
      <c r="C493" s="33" t="s">
        <v>296</v>
      </c>
      <c r="D493" s="33" t="s">
        <v>174</v>
      </c>
      <c r="E493" s="33" t="s">
        <v>166</v>
      </c>
      <c r="F493" s="33" t="s">
        <v>163</v>
      </c>
    </row>
    <row r="494" spans="1:6" ht="29" thickBot="1">
      <c r="A494" s="31">
        <v>5619391</v>
      </c>
      <c r="B494" s="32">
        <v>30000000</v>
      </c>
      <c r="C494" s="33" t="s">
        <v>297</v>
      </c>
      <c r="D494" s="33" t="s">
        <v>174</v>
      </c>
      <c r="E494" s="33" t="s">
        <v>166</v>
      </c>
      <c r="F494" s="33" t="s">
        <v>163</v>
      </c>
    </row>
    <row r="495" spans="1:6" ht="15" thickBot="1">
      <c r="A495" s="31">
        <v>5636675</v>
      </c>
      <c r="B495" s="32">
        <v>90000000</v>
      </c>
      <c r="C495" s="33" t="s">
        <v>298</v>
      </c>
      <c r="D495" s="33" t="s">
        <v>174</v>
      </c>
      <c r="E495" s="33" t="s">
        <v>166</v>
      </c>
      <c r="F495" s="33" t="s">
        <v>163</v>
      </c>
    </row>
    <row r="496" spans="1:6" ht="15" thickBot="1">
      <c r="A496" s="31">
        <v>5640209</v>
      </c>
      <c r="B496" s="32">
        <v>15500000</v>
      </c>
      <c r="C496" s="33" t="s">
        <v>299</v>
      </c>
      <c r="D496" s="33" t="s">
        <v>174</v>
      </c>
      <c r="E496" s="33" t="s">
        <v>166</v>
      </c>
      <c r="F496" s="33" t="s">
        <v>163</v>
      </c>
    </row>
    <row r="497" spans="1:6" ht="15" thickBot="1">
      <c r="A497" s="31">
        <v>5645625</v>
      </c>
      <c r="B497" s="32">
        <v>17600000</v>
      </c>
      <c r="C497" s="33" t="s">
        <v>204</v>
      </c>
      <c r="D497" s="33" t="s">
        <v>174</v>
      </c>
      <c r="E497" s="33" t="s">
        <v>166</v>
      </c>
      <c r="F497" s="33" t="s">
        <v>163</v>
      </c>
    </row>
    <row r="498" spans="1:6" ht="15" thickBot="1">
      <c r="A498" s="31">
        <v>5646406</v>
      </c>
      <c r="B498" s="32">
        <v>4100000</v>
      </c>
      <c r="C498" s="33" t="s">
        <v>235</v>
      </c>
      <c r="D498" s="33" t="s">
        <v>161</v>
      </c>
      <c r="E498" s="33" t="s">
        <v>162</v>
      </c>
      <c r="F498" s="33" t="s">
        <v>163</v>
      </c>
    </row>
    <row r="499" spans="1:6" ht="15" thickBot="1">
      <c r="A499" s="31">
        <v>5663594</v>
      </c>
      <c r="B499" s="32">
        <v>9900000</v>
      </c>
      <c r="C499" s="33" t="s">
        <v>172</v>
      </c>
      <c r="D499" s="33" t="s">
        <v>169</v>
      </c>
      <c r="E499" s="34" t="s">
        <v>170</v>
      </c>
      <c r="F499" s="33" t="s">
        <v>163</v>
      </c>
    </row>
    <row r="500" spans="1:6" ht="15" thickBot="1">
      <c r="A500" s="31">
        <v>5665336</v>
      </c>
      <c r="B500" s="32">
        <v>65000000</v>
      </c>
      <c r="C500" s="33" t="s">
        <v>160</v>
      </c>
      <c r="D500" s="33" t="s">
        <v>174</v>
      </c>
      <c r="E500" s="33" t="s">
        <v>166</v>
      </c>
      <c r="F500" s="33" t="s">
        <v>163</v>
      </c>
    </row>
    <row r="501" spans="1:6" ht="15" thickBot="1">
      <c r="A501" s="31">
        <v>5665658</v>
      </c>
      <c r="B501" s="32">
        <v>80000000</v>
      </c>
      <c r="C501" s="33" t="s">
        <v>202</v>
      </c>
      <c r="D501" s="33" t="s">
        <v>174</v>
      </c>
      <c r="E501" s="33" t="s">
        <v>166</v>
      </c>
      <c r="F501" s="33" t="s">
        <v>163</v>
      </c>
    </row>
    <row r="502" spans="1:6" ht="15" thickBot="1">
      <c r="A502" s="31">
        <v>5665897</v>
      </c>
      <c r="B502" s="32">
        <v>13700000</v>
      </c>
      <c r="C502" s="33" t="s">
        <v>289</v>
      </c>
      <c r="D502" s="33" t="s">
        <v>174</v>
      </c>
      <c r="E502" s="33" t="s">
        <v>166</v>
      </c>
      <c r="F502" s="33" t="s">
        <v>163</v>
      </c>
    </row>
    <row r="503" spans="1:6" ht="15" thickBot="1">
      <c r="A503" s="31">
        <v>5687571</v>
      </c>
      <c r="B503" s="32">
        <v>52500000</v>
      </c>
      <c r="C503" s="33" t="s">
        <v>182</v>
      </c>
      <c r="D503" s="33" t="s">
        <v>174</v>
      </c>
      <c r="E503" s="33" t="s">
        <v>166</v>
      </c>
      <c r="F503" s="33" t="s">
        <v>163</v>
      </c>
    </row>
    <row r="504" spans="1:6" ht="15" thickBot="1">
      <c r="A504" s="31">
        <v>5688787</v>
      </c>
      <c r="B504" s="32">
        <v>115000</v>
      </c>
      <c r="C504" s="33" t="s">
        <v>180</v>
      </c>
      <c r="D504" s="33" t="s">
        <v>165</v>
      </c>
      <c r="E504" s="33" t="s">
        <v>166</v>
      </c>
      <c r="F504" s="33" t="s">
        <v>167</v>
      </c>
    </row>
    <row r="505" spans="1:6" ht="15" thickBot="1">
      <c r="A505" s="31">
        <v>5719902</v>
      </c>
      <c r="B505" s="32">
        <v>3400000</v>
      </c>
      <c r="C505" s="33" t="s">
        <v>300</v>
      </c>
      <c r="D505" s="33" t="s">
        <v>161</v>
      </c>
      <c r="E505" s="33" t="s">
        <v>162</v>
      </c>
      <c r="F505" s="33" t="s">
        <v>163</v>
      </c>
    </row>
    <row r="506" spans="1:6" ht="15" thickBot="1">
      <c r="A506" s="31">
        <v>5727152</v>
      </c>
      <c r="B506" s="32">
        <v>15000000</v>
      </c>
      <c r="C506" s="33" t="s">
        <v>196</v>
      </c>
      <c r="D506" s="33" t="s">
        <v>161</v>
      </c>
      <c r="E506" s="33" t="s">
        <v>162</v>
      </c>
      <c r="F506" s="33" t="s">
        <v>163</v>
      </c>
    </row>
    <row r="507" spans="1:6" ht="29" thickBot="1">
      <c r="A507" s="31">
        <v>5727921</v>
      </c>
      <c r="B507" s="32">
        <v>34000000</v>
      </c>
      <c r="C507" s="33" t="s">
        <v>301</v>
      </c>
      <c r="D507" s="33" t="s">
        <v>174</v>
      </c>
      <c r="E507" s="33" t="s">
        <v>166</v>
      </c>
      <c r="F507" s="33" t="s">
        <v>163</v>
      </c>
    </row>
    <row r="508" spans="1:6" ht="15" thickBot="1">
      <c r="A508" s="31">
        <v>5728159</v>
      </c>
      <c r="B508" s="32">
        <v>75000000</v>
      </c>
      <c r="C508" s="33" t="s">
        <v>173</v>
      </c>
      <c r="D508" s="33" t="s">
        <v>174</v>
      </c>
      <c r="E508" s="33" t="s">
        <v>166</v>
      </c>
      <c r="F508" s="33" t="s">
        <v>163</v>
      </c>
    </row>
    <row r="509" spans="1:6" ht="15" thickBot="1">
      <c r="A509" s="31">
        <v>5728211</v>
      </c>
      <c r="B509" s="32">
        <v>37500000</v>
      </c>
      <c r="C509" s="33" t="s">
        <v>194</v>
      </c>
      <c r="D509" s="33" t="s">
        <v>174</v>
      </c>
      <c r="E509" s="33" t="s">
        <v>166</v>
      </c>
      <c r="F509" s="33" t="s">
        <v>163</v>
      </c>
    </row>
    <row r="510" spans="1:6" ht="15" thickBot="1">
      <c r="A510" s="31">
        <v>5740522</v>
      </c>
      <c r="B510" s="32">
        <v>102500000</v>
      </c>
      <c r="C510" s="33" t="s">
        <v>177</v>
      </c>
      <c r="D510" s="33" t="s">
        <v>174</v>
      </c>
      <c r="E510" s="33" t="s">
        <v>166</v>
      </c>
      <c r="F510" s="33" t="s">
        <v>163</v>
      </c>
    </row>
    <row r="511" spans="1:6" ht="15" thickBot="1">
      <c r="A511" s="31">
        <v>5753242</v>
      </c>
      <c r="B511" s="32">
        <v>60000</v>
      </c>
      <c r="C511" s="33" t="s">
        <v>177</v>
      </c>
      <c r="D511" s="33" t="s">
        <v>169</v>
      </c>
      <c r="E511" s="34" t="s">
        <v>170</v>
      </c>
      <c r="F511" s="33" t="s">
        <v>167</v>
      </c>
    </row>
    <row r="512" spans="1:6" ht="15" thickBot="1">
      <c r="A512" s="31">
        <v>5760133</v>
      </c>
      <c r="B512" s="32">
        <v>62000</v>
      </c>
      <c r="C512" s="33" t="s">
        <v>302</v>
      </c>
      <c r="D512" s="33" t="s">
        <v>169</v>
      </c>
      <c r="E512" s="34" t="s">
        <v>170</v>
      </c>
      <c r="F512" s="33" t="s">
        <v>167</v>
      </c>
    </row>
    <row r="513" spans="1:6" ht="15" thickBot="1">
      <c r="A513" s="31">
        <v>5760212</v>
      </c>
      <c r="B513" s="32">
        <v>20000</v>
      </c>
      <c r="C513" s="33" t="s">
        <v>183</v>
      </c>
      <c r="D513" s="33" t="s">
        <v>169</v>
      </c>
      <c r="E513" s="34" t="s">
        <v>170</v>
      </c>
      <c r="F513" s="33" t="s">
        <v>167</v>
      </c>
    </row>
    <row r="514" spans="1:6" ht="15" thickBot="1">
      <c r="A514" s="31">
        <v>5773641</v>
      </c>
      <c r="B514" s="32">
        <v>38000000</v>
      </c>
      <c r="C514" s="33" t="s">
        <v>180</v>
      </c>
      <c r="D514" s="33" t="s">
        <v>165</v>
      </c>
      <c r="E514" s="33" t="s">
        <v>166</v>
      </c>
      <c r="F514" s="33" t="s">
        <v>163</v>
      </c>
    </row>
    <row r="515" spans="1:6" ht="15" thickBot="1">
      <c r="A515" s="31">
        <v>5776968</v>
      </c>
      <c r="B515" s="32">
        <v>65000</v>
      </c>
      <c r="C515" s="33" t="s">
        <v>198</v>
      </c>
      <c r="D515" s="33" t="s">
        <v>169</v>
      </c>
      <c r="E515" s="34" t="s">
        <v>170</v>
      </c>
      <c r="F515" s="33" t="s">
        <v>167</v>
      </c>
    </row>
    <row r="516" spans="1:6" ht="29" thickBot="1">
      <c r="A516" s="31">
        <v>5777997</v>
      </c>
      <c r="B516" s="32">
        <v>11500000</v>
      </c>
      <c r="C516" s="33" t="s">
        <v>303</v>
      </c>
      <c r="D516" s="33" t="s">
        <v>174</v>
      </c>
      <c r="E516" s="33" t="s">
        <v>166</v>
      </c>
      <c r="F516" s="33" t="s">
        <v>163</v>
      </c>
    </row>
    <row r="517" spans="1:6" ht="15" thickBot="1">
      <c r="A517" s="31">
        <v>5794550</v>
      </c>
      <c r="B517" s="32">
        <v>39000000</v>
      </c>
      <c r="C517" s="33" t="s">
        <v>196</v>
      </c>
      <c r="D517" s="33" t="s">
        <v>161</v>
      </c>
      <c r="E517" s="33" t="s">
        <v>162</v>
      </c>
      <c r="F517" s="33" t="s">
        <v>163</v>
      </c>
    </row>
    <row r="518" spans="1:6" ht="15" thickBot="1">
      <c r="A518" s="31">
        <v>5794603</v>
      </c>
      <c r="B518" s="32">
        <v>10500000</v>
      </c>
      <c r="C518" s="33" t="s">
        <v>304</v>
      </c>
      <c r="D518" s="33" t="s">
        <v>169</v>
      </c>
      <c r="E518" s="34" t="s">
        <v>170</v>
      </c>
      <c r="F518" s="33" t="s">
        <v>163</v>
      </c>
    </row>
    <row r="519" spans="1:6" ht="15" thickBot="1">
      <c r="A519" s="31">
        <v>5805911</v>
      </c>
      <c r="B519" s="32">
        <v>185000</v>
      </c>
      <c r="C519" s="33" t="s">
        <v>177</v>
      </c>
      <c r="D519" s="33" t="s">
        <v>161</v>
      </c>
      <c r="E519" s="33" t="s">
        <v>162</v>
      </c>
      <c r="F519" s="33" t="s">
        <v>167</v>
      </c>
    </row>
    <row r="520" spans="1:6" ht="15" thickBot="1">
      <c r="A520" s="31">
        <v>5806903</v>
      </c>
      <c r="B520" s="32">
        <v>42500000</v>
      </c>
      <c r="C520" s="33" t="s">
        <v>177</v>
      </c>
      <c r="D520" s="33" t="s">
        <v>174</v>
      </c>
      <c r="E520" s="33" t="s">
        <v>166</v>
      </c>
      <c r="F520" s="33" t="s">
        <v>163</v>
      </c>
    </row>
    <row r="521" spans="1:6" ht="15" thickBot="1">
      <c r="A521" s="31">
        <v>5821629</v>
      </c>
      <c r="B521" s="32">
        <v>25000</v>
      </c>
      <c r="C521" s="33" t="s">
        <v>199</v>
      </c>
      <c r="D521" s="33" t="s">
        <v>200</v>
      </c>
      <c r="E521" s="33" t="s">
        <v>166</v>
      </c>
      <c r="F521" s="33" t="s">
        <v>167</v>
      </c>
    </row>
    <row r="522" spans="1:6" ht="15" thickBot="1">
      <c r="A522" s="31">
        <v>5822422</v>
      </c>
      <c r="B522" s="32">
        <v>200000000</v>
      </c>
      <c r="C522" s="33" t="s">
        <v>305</v>
      </c>
      <c r="D522" s="33" t="s">
        <v>174</v>
      </c>
      <c r="E522" s="33" t="s">
        <v>166</v>
      </c>
      <c r="F522" s="33" t="s">
        <v>163</v>
      </c>
    </row>
    <row r="523" spans="1:6" ht="29" thickBot="1">
      <c r="A523" s="31">
        <v>5823437</v>
      </c>
      <c r="B523" s="32">
        <v>4666000</v>
      </c>
      <c r="C523" s="33" t="s">
        <v>286</v>
      </c>
      <c r="D523" s="33" t="s">
        <v>161</v>
      </c>
      <c r="E523" s="33" t="s">
        <v>162</v>
      </c>
      <c r="F523" s="33" t="s">
        <v>163</v>
      </c>
    </row>
    <row r="524" spans="1:6" ht="15" thickBot="1">
      <c r="A524" s="31">
        <v>5829987</v>
      </c>
      <c r="B524" s="32">
        <v>11000000</v>
      </c>
      <c r="C524" s="33" t="s">
        <v>306</v>
      </c>
      <c r="D524" s="33" t="s">
        <v>174</v>
      </c>
      <c r="E524" s="33" t="s">
        <v>166</v>
      </c>
      <c r="F524" s="33" t="s">
        <v>163</v>
      </c>
    </row>
    <row r="525" spans="1:6" ht="15" thickBot="1">
      <c r="A525" s="31">
        <v>5835207</v>
      </c>
      <c r="B525" s="32">
        <v>14500000</v>
      </c>
      <c r="C525" s="33" t="s">
        <v>221</v>
      </c>
      <c r="D525" s="33" t="s">
        <v>169</v>
      </c>
      <c r="E525" s="34" t="s">
        <v>170</v>
      </c>
      <c r="F525" s="33" t="s">
        <v>163</v>
      </c>
    </row>
    <row r="526" spans="1:6" ht="29" thickBot="1">
      <c r="A526" s="31">
        <v>5842740</v>
      </c>
      <c r="B526" s="32">
        <v>10000000</v>
      </c>
      <c r="C526" s="33" t="s">
        <v>303</v>
      </c>
      <c r="D526" s="33" t="s">
        <v>174</v>
      </c>
      <c r="E526" s="33" t="s">
        <v>166</v>
      </c>
      <c r="F526" s="33" t="s">
        <v>163</v>
      </c>
    </row>
    <row r="527" spans="1:6" ht="29" thickBot="1">
      <c r="A527" s="31">
        <v>5842741</v>
      </c>
      <c r="B527" s="32">
        <v>11500000</v>
      </c>
      <c r="C527" s="33" t="s">
        <v>303</v>
      </c>
      <c r="D527" s="33" t="s">
        <v>174</v>
      </c>
      <c r="E527" s="33" t="s">
        <v>166</v>
      </c>
      <c r="F527" s="33" t="s">
        <v>163</v>
      </c>
    </row>
    <row r="528" spans="1:6" ht="15" thickBot="1">
      <c r="A528" s="31">
        <v>5852748</v>
      </c>
      <c r="B528" s="32">
        <v>190000000</v>
      </c>
      <c r="C528" s="33" t="s">
        <v>173</v>
      </c>
      <c r="D528" s="33" t="s">
        <v>174</v>
      </c>
      <c r="E528" s="33" t="s">
        <v>166</v>
      </c>
      <c r="F528" s="33" t="s">
        <v>163</v>
      </c>
    </row>
    <row r="529" spans="1:6" ht="15" thickBot="1">
      <c r="A529" s="31">
        <v>5868636</v>
      </c>
      <c r="B529" s="32">
        <v>4848000</v>
      </c>
      <c r="C529" s="33" t="s">
        <v>211</v>
      </c>
      <c r="D529" s="33" t="s">
        <v>161</v>
      </c>
      <c r="E529" s="33" t="s">
        <v>162</v>
      </c>
      <c r="F529" s="33" t="s">
        <v>163</v>
      </c>
    </row>
    <row r="530" spans="1:6" ht="15" thickBot="1">
      <c r="A530" s="31">
        <v>5877435</v>
      </c>
      <c r="B530" s="32">
        <v>95000000</v>
      </c>
      <c r="C530" s="33" t="s">
        <v>160</v>
      </c>
      <c r="D530" s="33" t="s">
        <v>161</v>
      </c>
      <c r="E530" s="33" t="s">
        <v>162</v>
      </c>
      <c r="F530" s="33" t="s">
        <v>163</v>
      </c>
    </row>
    <row r="531" spans="1:6" ht="15" thickBot="1">
      <c r="A531" s="31">
        <v>5878767</v>
      </c>
      <c r="B531" s="32">
        <v>75000</v>
      </c>
      <c r="C531" s="33" t="s">
        <v>307</v>
      </c>
      <c r="D531" s="33" t="s">
        <v>169</v>
      </c>
      <c r="E531" s="34" t="s">
        <v>170</v>
      </c>
      <c r="F531" s="33" t="s">
        <v>167</v>
      </c>
    </row>
    <row r="532" spans="1:6" ht="29" thickBot="1">
      <c r="A532" s="31">
        <v>5897260</v>
      </c>
      <c r="B532" s="32">
        <v>18800000</v>
      </c>
      <c r="C532" s="33" t="s">
        <v>308</v>
      </c>
      <c r="D532" s="33" t="s">
        <v>174</v>
      </c>
      <c r="E532" s="33" t="s">
        <v>166</v>
      </c>
      <c r="F532" s="33" t="s">
        <v>163</v>
      </c>
    </row>
    <row r="533" spans="1:6" ht="15" thickBot="1">
      <c r="A533" s="31">
        <v>5908129</v>
      </c>
      <c r="B533" s="32">
        <v>11000000</v>
      </c>
      <c r="C533" s="33" t="s">
        <v>204</v>
      </c>
      <c r="D533" s="33" t="s">
        <v>174</v>
      </c>
      <c r="E533" s="33" t="s">
        <v>166</v>
      </c>
      <c r="F533" s="33" t="s">
        <v>163</v>
      </c>
    </row>
    <row r="534" spans="1:6" ht="15" thickBot="1">
      <c r="A534" s="31">
        <v>5912592</v>
      </c>
      <c r="B534" s="32">
        <v>56000000</v>
      </c>
      <c r="C534" s="33" t="s">
        <v>185</v>
      </c>
      <c r="D534" s="33" t="s">
        <v>174</v>
      </c>
      <c r="E534" s="33" t="s">
        <v>166</v>
      </c>
      <c r="F534" s="33" t="s">
        <v>163</v>
      </c>
    </row>
    <row r="535" spans="1:6" ht="15" thickBot="1">
      <c r="A535" s="31">
        <v>5927863</v>
      </c>
      <c r="B535" s="32">
        <v>40000000</v>
      </c>
      <c r="C535" s="33" t="s">
        <v>196</v>
      </c>
      <c r="D535" s="33" t="s">
        <v>161</v>
      </c>
      <c r="E535" s="33" t="s">
        <v>162</v>
      </c>
      <c r="F535" s="33" t="s">
        <v>163</v>
      </c>
    </row>
    <row r="536" spans="1:6" ht="15" thickBot="1">
      <c r="A536" s="31">
        <v>5930077</v>
      </c>
      <c r="B536" s="32">
        <v>8500000</v>
      </c>
      <c r="C536" s="33" t="s">
        <v>184</v>
      </c>
      <c r="D536" s="33" t="s">
        <v>161</v>
      </c>
      <c r="E536" s="33" t="s">
        <v>162</v>
      </c>
      <c r="F536" s="33" t="s">
        <v>163</v>
      </c>
    </row>
    <row r="537" spans="1:6" ht="15" thickBot="1">
      <c r="A537" s="31">
        <v>5930859</v>
      </c>
      <c r="B537" s="32">
        <v>83000000</v>
      </c>
      <c r="C537" s="33" t="s">
        <v>198</v>
      </c>
      <c r="D537" s="33" t="s">
        <v>169</v>
      </c>
      <c r="E537" s="34" t="s">
        <v>170</v>
      </c>
      <c r="F537" s="33" t="s">
        <v>163</v>
      </c>
    </row>
    <row r="538" spans="1:6" ht="15" thickBot="1">
      <c r="A538" s="31">
        <v>5939484</v>
      </c>
      <c r="B538" s="32">
        <v>23600000</v>
      </c>
      <c r="C538" s="33" t="s">
        <v>177</v>
      </c>
      <c r="D538" s="33" t="s">
        <v>174</v>
      </c>
      <c r="E538" s="33" t="s">
        <v>166</v>
      </c>
      <c r="F538" s="33" t="s">
        <v>163</v>
      </c>
    </row>
    <row r="539" spans="1:6" ht="29" thickBot="1">
      <c r="A539" s="31">
        <v>5939607</v>
      </c>
      <c r="B539" s="32">
        <v>90000000</v>
      </c>
      <c r="C539" s="33" t="s">
        <v>261</v>
      </c>
      <c r="D539" s="33" t="s">
        <v>161</v>
      </c>
      <c r="E539" s="33" t="s">
        <v>162</v>
      </c>
      <c r="F539" s="33" t="s">
        <v>163</v>
      </c>
    </row>
    <row r="540" spans="1:6" ht="15" thickBot="1">
      <c r="A540" s="31">
        <v>5949733</v>
      </c>
      <c r="B540" s="32">
        <v>32500000</v>
      </c>
      <c r="C540" s="33" t="s">
        <v>180</v>
      </c>
      <c r="D540" s="33" t="s">
        <v>165</v>
      </c>
      <c r="E540" s="33" t="s">
        <v>166</v>
      </c>
      <c r="F540" s="33" t="s">
        <v>163</v>
      </c>
    </row>
    <row r="541" spans="1:6" ht="15" thickBot="1">
      <c r="A541" s="31">
        <v>5949755</v>
      </c>
      <c r="B541" s="32">
        <v>40000000</v>
      </c>
      <c r="C541" s="33" t="s">
        <v>180</v>
      </c>
      <c r="D541" s="33" t="s">
        <v>165</v>
      </c>
      <c r="E541" s="33" t="s">
        <v>166</v>
      </c>
      <c r="F541" s="33" t="s">
        <v>163</v>
      </c>
    </row>
    <row r="542" spans="1:6" ht="15" thickBot="1">
      <c r="A542" s="31">
        <v>5955760</v>
      </c>
      <c r="B542" s="32">
        <v>37000000</v>
      </c>
      <c r="C542" s="33" t="s">
        <v>206</v>
      </c>
      <c r="D542" s="33" t="s">
        <v>174</v>
      </c>
      <c r="E542" s="33" t="s">
        <v>166</v>
      </c>
      <c r="F542" s="33" t="s">
        <v>163</v>
      </c>
    </row>
    <row r="543" spans="1:6" ht="15" thickBot="1">
      <c r="A543" s="31">
        <v>5955761</v>
      </c>
      <c r="B543" s="32">
        <v>38000000</v>
      </c>
      <c r="C543" s="33" t="s">
        <v>206</v>
      </c>
      <c r="D543" s="33" t="s">
        <v>174</v>
      </c>
      <c r="E543" s="33" t="s">
        <v>166</v>
      </c>
      <c r="F543" s="33" t="s">
        <v>163</v>
      </c>
    </row>
    <row r="544" spans="1:6" ht="15" thickBot="1">
      <c r="A544" s="31">
        <v>5958535</v>
      </c>
      <c r="B544" s="32">
        <v>4800000</v>
      </c>
      <c r="C544" s="33" t="s">
        <v>204</v>
      </c>
      <c r="D544" s="33" t="s">
        <v>169</v>
      </c>
      <c r="E544" s="34" t="s">
        <v>170</v>
      </c>
      <c r="F544" s="33" t="s">
        <v>163</v>
      </c>
    </row>
    <row r="545" spans="1:6" ht="15" thickBot="1">
      <c r="A545" s="31">
        <v>5967797</v>
      </c>
      <c r="B545" s="32">
        <v>75000</v>
      </c>
      <c r="C545" s="33" t="s">
        <v>198</v>
      </c>
      <c r="D545" s="33" t="s">
        <v>169</v>
      </c>
      <c r="E545" s="34" t="s">
        <v>170</v>
      </c>
      <c r="F545" s="33" t="s">
        <v>167</v>
      </c>
    </row>
    <row r="546" spans="1:6" ht="15" thickBot="1">
      <c r="A546" s="31">
        <v>5973097</v>
      </c>
      <c r="B546" s="32">
        <v>26500000</v>
      </c>
      <c r="C546" s="33" t="s">
        <v>309</v>
      </c>
      <c r="D546" s="33" t="s">
        <v>165</v>
      </c>
      <c r="E546" s="33" t="s">
        <v>166</v>
      </c>
      <c r="F546" s="33" t="s">
        <v>163</v>
      </c>
    </row>
    <row r="547" spans="1:6" ht="15" thickBot="1">
      <c r="A547" s="31">
        <v>5974338</v>
      </c>
      <c r="B547" s="32">
        <v>13000000</v>
      </c>
      <c r="C547" s="33" t="s">
        <v>207</v>
      </c>
      <c r="D547" s="33" t="s">
        <v>169</v>
      </c>
      <c r="E547" s="34" t="s">
        <v>170</v>
      </c>
      <c r="F547" s="33" t="s">
        <v>163</v>
      </c>
    </row>
    <row r="548" spans="1:6" ht="15" thickBot="1">
      <c r="A548" s="31">
        <v>5975093</v>
      </c>
      <c r="B548" s="32">
        <v>9500</v>
      </c>
      <c r="C548" s="33" t="s">
        <v>205</v>
      </c>
      <c r="D548" s="33" t="s">
        <v>161</v>
      </c>
      <c r="E548" s="33" t="s">
        <v>162</v>
      </c>
      <c r="F548" s="33" t="s">
        <v>167</v>
      </c>
    </row>
    <row r="549" spans="1:6" ht="15" thickBot="1">
      <c r="A549" s="31">
        <v>6013436</v>
      </c>
      <c r="B549" s="32">
        <v>72500000</v>
      </c>
      <c r="C549" s="33" t="s">
        <v>177</v>
      </c>
      <c r="D549" s="33" t="s">
        <v>161</v>
      </c>
      <c r="E549" s="33" t="s">
        <v>162</v>
      </c>
      <c r="F549" s="33" t="s">
        <v>163</v>
      </c>
    </row>
    <row r="550" spans="1:6" ht="15" thickBot="1">
      <c r="A550" s="31">
        <v>6017161</v>
      </c>
      <c r="B550" s="32">
        <v>55000000</v>
      </c>
      <c r="C550" s="33" t="s">
        <v>177</v>
      </c>
      <c r="D550" s="33" t="s">
        <v>161</v>
      </c>
      <c r="E550" s="33" t="s">
        <v>162</v>
      </c>
      <c r="F550" s="33" t="s">
        <v>163</v>
      </c>
    </row>
    <row r="551" spans="1:6" ht="15" thickBot="1">
      <c r="A551" s="31">
        <v>6018018</v>
      </c>
      <c r="B551" s="32">
        <v>50000</v>
      </c>
      <c r="C551" s="33" t="s">
        <v>177</v>
      </c>
      <c r="D551" s="33" t="s">
        <v>161</v>
      </c>
      <c r="E551" s="33" t="s">
        <v>162</v>
      </c>
      <c r="F551" s="33" t="s">
        <v>167</v>
      </c>
    </row>
    <row r="552" spans="1:6" ht="15" thickBot="1">
      <c r="A552" s="31">
        <v>6020857</v>
      </c>
      <c r="B552" s="32">
        <v>12500000</v>
      </c>
      <c r="C552" s="33" t="s">
        <v>182</v>
      </c>
      <c r="D552" s="33" t="s">
        <v>169</v>
      </c>
      <c r="E552" s="34" t="s">
        <v>170</v>
      </c>
      <c r="F552" s="33" t="s">
        <v>163</v>
      </c>
    </row>
    <row r="553" spans="1:6" ht="15" thickBot="1">
      <c r="A553" s="31">
        <v>6024787</v>
      </c>
      <c r="B553" s="32">
        <v>40000000</v>
      </c>
      <c r="C553" s="33" t="s">
        <v>180</v>
      </c>
      <c r="D553" s="33" t="s">
        <v>165</v>
      </c>
      <c r="E553" s="33" t="s">
        <v>166</v>
      </c>
      <c r="F553" s="33" t="s">
        <v>163</v>
      </c>
    </row>
    <row r="554" spans="1:6" ht="15" thickBot="1">
      <c r="A554" s="31">
        <v>6025903</v>
      </c>
      <c r="B554" s="32">
        <v>50000000</v>
      </c>
      <c r="C554" s="33" t="s">
        <v>310</v>
      </c>
      <c r="D554" s="33" t="s">
        <v>174</v>
      </c>
      <c r="E554" s="33" t="s">
        <v>166</v>
      </c>
      <c r="F554" s="33" t="s">
        <v>163</v>
      </c>
    </row>
    <row r="555" spans="1:6" ht="15" thickBot="1">
      <c r="A555" s="31">
        <v>6049972</v>
      </c>
      <c r="B555" s="32">
        <v>10900000</v>
      </c>
      <c r="C555" s="33" t="s">
        <v>311</v>
      </c>
      <c r="D555" s="33" t="s">
        <v>174</v>
      </c>
      <c r="E555" s="33" t="s">
        <v>166</v>
      </c>
      <c r="F555" s="33" t="s">
        <v>163</v>
      </c>
    </row>
    <row r="556" spans="1:6" ht="15" thickBot="1">
      <c r="A556" s="31">
        <v>6062641</v>
      </c>
      <c r="B556" s="32">
        <v>43000000</v>
      </c>
      <c r="C556" s="33" t="s">
        <v>180</v>
      </c>
      <c r="D556" s="33" t="s">
        <v>165</v>
      </c>
      <c r="E556" s="33" t="s">
        <v>166</v>
      </c>
      <c r="F556" s="33" t="s">
        <v>163</v>
      </c>
    </row>
    <row r="557" spans="1:6" ht="29" thickBot="1">
      <c r="A557" s="31">
        <v>6063561</v>
      </c>
      <c r="B557" s="32">
        <v>5600000</v>
      </c>
      <c r="C557" s="33" t="s">
        <v>312</v>
      </c>
      <c r="D557" s="33" t="s">
        <v>174</v>
      </c>
      <c r="E557" s="33" t="s">
        <v>166</v>
      </c>
      <c r="F557" s="33" t="s">
        <v>163</v>
      </c>
    </row>
    <row r="558" spans="1:6" ht="15" thickBot="1">
      <c r="A558" s="31">
        <v>6071935</v>
      </c>
      <c r="B558" s="32">
        <v>41000000</v>
      </c>
      <c r="C558" s="33" t="s">
        <v>180</v>
      </c>
      <c r="D558" s="33" t="s">
        <v>165</v>
      </c>
      <c r="E558" s="33" t="s">
        <v>166</v>
      </c>
      <c r="F558" s="33" t="s">
        <v>163</v>
      </c>
    </row>
    <row r="559" spans="1:6" ht="15" thickBot="1">
      <c r="A559" s="31">
        <v>6073476</v>
      </c>
      <c r="B559" s="32">
        <v>11000000</v>
      </c>
      <c r="C559" s="33" t="s">
        <v>225</v>
      </c>
      <c r="D559" s="33" t="s">
        <v>165</v>
      </c>
      <c r="E559" s="33" t="s">
        <v>166</v>
      </c>
      <c r="F559" s="33" t="s">
        <v>163</v>
      </c>
    </row>
    <row r="560" spans="1:6" ht="15" thickBot="1">
      <c r="A560" s="31">
        <v>6091051</v>
      </c>
      <c r="B560" s="32">
        <v>51500000</v>
      </c>
      <c r="C560" s="33" t="s">
        <v>180</v>
      </c>
      <c r="D560" s="33" t="s">
        <v>165</v>
      </c>
      <c r="E560" s="33" t="s">
        <v>166</v>
      </c>
      <c r="F560" s="33" t="s">
        <v>163</v>
      </c>
    </row>
    <row r="561" spans="1:6" ht="15" thickBot="1">
      <c r="A561" s="31">
        <v>6091449</v>
      </c>
      <c r="B561" s="32">
        <v>47000000</v>
      </c>
      <c r="C561" s="33" t="s">
        <v>180</v>
      </c>
      <c r="D561" s="33" t="s">
        <v>165</v>
      </c>
      <c r="E561" s="33" t="s">
        <v>166</v>
      </c>
      <c r="F561" s="33" t="s">
        <v>163</v>
      </c>
    </row>
    <row r="562" spans="1:6" ht="15" thickBot="1">
      <c r="A562" s="31">
        <v>6092244</v>
      </c>
      <c r="B562" s="32">
        <v>42500000</v>
      </c>
      <c r="C562" s="33" t="s">
        <v>180</v>
      </c>
      <c r="D562" s="33" t="s">
        <v>165</v>
      </c>
      <c r="E562" s="33" t="s">
        <v>166</v>
      </c>
      <c r="F562" s="33" t="s">
        <v>163</v>
      </c>
    </row>
    <row r="563" spans="1:6" ht="15" thickBot="1">
      <c r="A563" s="31">
        <v>6094363</v>
      </c>
      <c r="B563" s="32">
        <v>13000000</v>
      </c>
      <c r="C563" s="33" t="s">
        <v>313</v>
      </c>
      <c r="D563" s="33" t="s">
        <v>165</v>
      </c>
      <c r="E563" s="33" t="s">
        <v>166</v>
      </c>
      <c r="F563" s="33" t="s">
        <v>163</v>
      </c>
    </row>
    <row r="564" spans="1:6" ht="15" thickBot="1">
      <c r="A564" s="31">
        <v>6101823</v>
      </c>
      <c r="B564" s="32">
        <v>12500000</v>
      </c>
      <c r="C564" s="33" t="s">
        <v>314</v>
      </c>
      <c r="D564" s="33" t="s">
        <v>200</v>
      </c>
      <c r="E564" s="33" t="s">
        <v>166</v>
      </c>
      <c r="F564" s="33" t="s">
        <v>163</v>
      </c>
    </row>
    <row r="565" spans="1:6" ht="15" thickBot="1">
      <c r="A565" s="31">
        <v>6106323</v>
      </c>
      <c r="B565" s="32">
        <v>45000</v>
      </c>
      <c r="C565" s="33" t="s">
        <v>184</v>
      </c>
      <c r="D565" s="33" t="s">
        <v>161</v>
      </c>
      <c r="E565" s="33" t="s">
        <v>162</v>
      </c>
      <c r="F565" s="33" t="s">
        <v>167</v>
      </c>
    </row>
    <row r="566" spans="1:6" ht="15" thickBot="1">
      <c r="A566" s="31">
        <v>6125547</v>
      </c>
      <c r="B566" s="32">
        <v>7000000</v>
      </c>
      <c r="C566" s="33" t="s">
        <v>235</v>
      </c>
      <c r="D566" s="33" t="s">
        <v>161</v>
      </c>
      <c r="E566" s="33" t="s">
        <v>162</v>
      </c>
      <c r="F566" s="33" t="s">
        <v>163</v>
      </c>
    </row>
    <row r="567" spans="1:6" ht="15" thickBot="1">
      <c r="A567" s="31">
        <v>6128134</v>
      </c>
      <c r="B567" s="32">
        <v>325000</v>
      </c>
      <c r="C567" s="33" t="s">
        <v>282</v>
      </c>
      <c r="D567" s="33" t="s">
        <v>161</v>
      </c>
      <c r="E567" s="33" t="s">
        <v>162</v>
      </c>
      <c r="F567" s="33" t="s">
        <v>167</v>
      </c>
    </row>
    <row r="568" spans="1:6" ht="15" thickBot="1">
      <c r="A568" s="31">
        <v>6130387</v>
      </c>
      <c r="B568" s="32">
        <v>60000</v>
      </c>
      <c r="C568" s="33" t="s">
        <v>198</v>
      </c>
      <c r="D568" s="33" t="s">
        <v>169</v>
      </c>
      <c r="E568" s="34" t="s">
        <v>170</v>
      </c>
      <c r="F568" s="33" t="s">
        <v>167</v>
      </c>
    </row>
    <row r="569" spans="1:6" ht="15" thickBot="1">
      <c r="A569" s="31">
        <v>6132587</v>
      </c>
      <c r="B569" s="32">
        <v>48000000</v>
      </c>
      <c r="C569" s="33" t="s">
        <v>201</v>
      </c>
      <c r="D569" s="33" t="s">
        <v>169</v>
      </c>
      <c r="E569" s="34" t="s">
        <v>170</v>
      </c>
      <c r="F569" s="33" t="s">
        <v>163</v>
      </c>
    </row>
    <row r="570" spans="1:6" ht="15" thickBot="1">
      <c r="A570" s="31">
        <v>6142531</v>
      </c>
      <c r="B570" s="32">
        <v>180000</v>
      </c>
      <c r="C570" s="33" t="s">
        <v>262</v>
      </c>
      <c r="D570" s="33" t="s">
        <v>169</v>
      </c>
      <c r="E570" s="34" t="s">
        <v>170</v>
      </c>
      <c r="F570" s="33" t="s">
        <v>167</v>
      </c>
    </row>
    <row r="571" spans="1:6" ht="15" thickBot="1">
      <c r="A571" s="31">
        <v>6155378</v>
      </c>
      <c r="B571" s="32">
        <v>9000000</v>
      </c>
      <c r="C571" s="33" t="s">
        <v>315</v>
      </c>
      <c r="D571" s="33" t="s">
        <v>169</v>
      </c>
      <c r="E571" s="34" t="s">
        <v>170</v>
      </c>
      <c r="F571" s="33" t="s">
        <v>163</v>
      </c>
    </row>
    <row r="572" spans="1:6" ht="15" thickBot="1">
      <c r="A572" s="31">
        <v>6155664</v>
      </c>
      <c r="B572" s="32">
        <v>190000</v>
      </c>
      <c r="C572" s="33" t="s">
        <v>236</v>
      </c>
      <c r="D572" s="33" t="s">
        <v>161</v>
      </c>
      <c r="E572" s="33" t="s">
        <v>162</v>
      </c>
      <c r="F572" s="33" t="s">
        <v>167</v>
      </c>
    </row>
    <row r="573" spans="1:6" ht="15" thickBot="1">
      <c r="A573" s="31">
        <v>6156499</v>
      </c>
      <c r="B573" s="32">
        <v>17000000</v>
      </c>
      <c r="C573" s="33" t="s">
        <v>282</v>
      </c>
      <c r="D573" s="33" t="s">
        <v>161</v>
      </c>
      <c r="E573" s="33" t="s">
        <v>162</v>
      </c>
      <c r="F573" s="33" t="s">
        <v>163</v>
      </c>
    </row>
    <row r="574" spans="1:6" ht="15" thickBot="1">
      <c r="A574" s="31">
        <v>6187227</v>
      </c>
      <c r="B574" s="32">
        <v>1700000</v>
      </c>
      <c r="C574" s="33" t="s">
        <v>316</v>
      </c>
      <c r="D574" s="33" t="s">
        <v>161</v>
      </c>
      <c r="E574" s="33" t="s">
        <v>162</v>
      </c>
      <c r="F574" s="33" t="s">
        <v>163</v>
      </c>
    </row>
    <row r="575" spans="1:6" ht="15" thickBot="1">
      <c r="A575" s="31">
        <v>6211219</v>
      </c>
      <c r="B575" s="32">
        <v>65000000</v>
      </c>
      <c r="C575" s="33" t="s">
        <v>221</v>
      </c>
      <c r="D575" s="33" t="s">
        <v>169</v>
      </c>
      <c r="E575" s="34" t="s">
        <v>170</v>
      </c>
      <c r="F575" s="33" t="s">
        <v>163</v>
      </c>
    </row>
    <row r="576" spans="1:6" ht="15" thickBot="1">
      <c r="A576" s="31">
        <v>6214648</v>
      </c>
      <c r="B576" s="32">
        <v>200000</v>
      </c>
      <c r="C576" s="33" t="s">
        <v>263</v>
      </c>
      <c r="D576" s="33" t="s">
        <v>161</v>
      </c>
      <c r="E576" s="33" t="s">
        <v>162</v>
      </c>
      <c r="F576" s="33" t="s">
        <v>167</v>
      </c>
    </row>
    <row r="577" spans="1:6" ht="15" thickBot="1">
      <c r="A577" s="31">
        <v>6215687</v>
      </c>
      <c r="B577" s="32">
        <v>22000000</v>
      </c>
      <c r="C577" s="33" t="s">
        <v>177</v>
      </c>
      <c r="D577" s="33" t="s">
        <v>161</v>
      </c>
      <c r="E577" s="33" t="s">
        <v>162</v>
      </c>
      <c r="F577" s="33" t="s">
        <v>163</v>
      </c>
    </row>
    <row r="578" spans="1:6" ht="15" thickBot="1">
      <c r="A578" s="31">
        <v>6216551</v>
      </c>
      <c r="B578" s="32">
        <v>33000000</v>
      </c>
      <c r="C578" s="33" t="s">
        <v>177</v>
      </c>
      <c r="D578" s="33" t="s">
        <v>174</v>
      </c>
      <c r="E578" s="33" t="s">
        <v>166</v>
      </c>
      <c r="F578" s="33" t="s">
        <v>163</v>
      </c>
    </row>
    <row r="579" spans="1:6" ht="15" thickBot="1">
      <c r="A579" s="31">
        <v>6226270</v>
      </c>
      <c r="B579" s="32">
        <v>60000</v>
      </c>
      <c r="C579" s="33" t="s">
        <v>180</v>
      </c>
      <c r="D579" s="33" t="s">
        <v>165</v>
      </c>
      <c r="E579" s="33" t="s">
        <v>166</v>
      </c>
      <c r="F579" s="33" t="s">
        <v>167</v>
      </c>
    </row>
    <row r="580" spans="1:6" ht="15" thickBot="1">
      <c r="A580" s="31">
        <v>6231549</v>
      </c>
      <c r="B580" s="32">
        <v>29500000</v>
      </c>
      <c r="C580" s="33" t="s">
        <v>177</v>
      </c>
      <c r="D580" s="33" t="s">
        <v>174</v>
      </c>
      <c r="E580" s="33" t="s">
        <v>166</v>
      </c>
      <c r="F580" s="33" t="s">
        <v>163</v>
      </c>
    </row>
    <row r="581" spans="1:6" ht="15" thickBot="1">
      <c r="A581" s="31">
        <v>6239437</v>
      </c>
      <c r="B581" s="32">
        <v>11000000</v>
      </c>
      <c r="C581" s="33" t="s">
        <v>235</v>
      </c>
      <c r="D581" s="33" t="s">
        <v>161</v>
      </c>
      <c r="E581" s="33" t="s">
        <v>162</v>
      </c>
      <c r="F581" s="33" t="s">
        <v>163</v>
      </c>
    </row>
    <row r="582" spans="1:6" ht="15" thickBot="1">
      <c r="A582" s="31">
        <v>6239640</v>
      </c>
      <c r="B582" s="32">
        <v>7000000</v>
      </c>
      <c r="C582" s="33" t="s">
        <v>177</v>
      </c>
      <c r="D582" s="33" t="s">
        <v>161</v>
      </c>
      <c r="E582" s="33" t="s">
        <v>162</v>
      </c>
      <c r="F582" s="33" t="s">
        <v>163</v>
      </c>
    </row>
    <row r="583" spans="1:6" ht="15" thickBot="1">
      <c r="A583" s="31">
        <v>6249558</v>
      </c>
      <c r="B583" s="32">
        <v>75000000</v>
      </c>
      <c r="C583" s="33" t="s">
        <v>160</v>
      </c>
      <c r="D583" s="33" t="s">
        <v>174</v>
      </c>
      <c r="E583" s="33" t="s">
        <v>166</v>
      </c>
      <c r="F583" s="33" t="s">
        <v>163</v>
      </c>
    </row>
    <row r="584" spans="1:6" ht="15" thickBot="1">
      <c r="A584" s="31">
        <v>6255874</v>
      </c>
      <c r="B584" s="32">
        <v>7900000</v>
      </c>
      <c r="C584" s="33" t="s">
        <v>317</v>
      </c>
      <c r="D584" s="33" t="s">
        <v>174</v>
      </c>
      <c r="E584" s="33" t="s">
        <v>166</v>
      </c>
      <c r="F584" s="33" t="s">
        <v>163</v>
      </c>
    </row>
    <row r="585" spans="1:6" ht="15" thickBot="1">
      <c r="A585" s="31">
        <v>6265584</v>
      </c>
      <c r="B585" s="32">
        <v>4500000</v>
      </c>
      <c r="C585" s="33" t="s">
        <v>259</v>
      </c>
      <c r="D585" s="33" t="s">
        <v>200</v>
      </c>
      <c r="E585" s="33" t="s">
        <v>166</v>
      </c>
      <c r="F585" s="33" t="s">
        <v>163</v>
      </c>
    </row>
    <row r="586" spans="1:6" ht="15" thickBot="1">
      <c r="A586" s="31">
        <v>6265851</v>
      </c>
      <c r="B586" s="32">
        <v>5656000</v>
      </c>
      <c r="C586" s="33" t="s">
        <v>204</v>
      </c>
      <c r="D586" s="33" t="s">
        <v>169</v>
      </c>
      <c r="E586" s="34" t="s">
        <v>170</v>
      </c>
      <c r="F586" s="33" t="s">
        <v>163</v>
      </c>
    </row>
    <row r="587" spans="1:6" ht="15" thickBot="1">
      <c r="A587" s="31">
        <v>6270196</v>
      </c>
      <c r="B587" s="32">
        <v>5049000</v>
      </c>
      <c r="C587" s="33" t="s">
        <v>211</v>
      </c>
      <c r="D587" s="33" t="s">
        <v>161</v>
      </c>
      <c r="E587" s="33" t="s">
        <v>162</v>
      </c>
      <c r="F587" s="33" t="s">
        <v>163</v>
      </c>
    </row>
    <row r="588" spans="1:6" ht="15" thickBot="1">
      <c r="A588" s="31">
        <v>6271232</v>
      </c>
      <c r="B588" s="32">
        <v>5800000</v>
      </c>
      <c r="C588" s="33" t="s">
        <v>172</v>
      </c>
      <c r="D588" s="33" t="s">
        <v>169</v>
      </c>
      <c r="E588" s="34" t="s">
        <v>170</v>
      </c>
      <c r="F588" s="33" t="s">
        <v>163</v>
      </c>
    </row>
    <row r="589" spans="1:6" ht="15" thickBot="1">
      <c r="A589" s="31">
        <v>6273458</v>
      </c>
      <c r="B589" s="32">
        <v>45000000</v>
      </c>
      <c r="C589" s="33" t="s">
        <v>177</v>
      </c>
      <c r="D589" s="33" t="s">
        <v>174</v>
      </c>
      <c r="E589" s="33" t="s">
        <v>166</v>
      </c>
      <c r="F589" s="33" t="s">
        <v>163</v>
      </c>
    </row>
    <row r="590" spans="1:6" ht="15" thickBot="1">
      <c r="A590" s="31">
        <v>6281914</v>
      </c>
      <c r="B590" s="32">
        <v>8000000</v>
      </c>
      <c r="C590" s="33" t="s">
        <v>177</v>
      </c>
      <c r="D590" s="33" t="s">
        <v>161</v>
      </c>
      <c r="E590" s="33" t="s">
        <v>162</v>
      </c>
      <c r="F590" s="33" t="s">
        <v>163</v>
      </c>
    </row>
    <row r="591" spans="1:6" ht="15" thickBot="1">
      <c r="A591" s="31">
        <v>6282072</v>
      </c>
      <c r="B591" s="32">
        <v>90000000</v>
      </c>
      <c r="C591" s="33" t="s">
        <v>172</v>
      </c>
      <c r="D591" s="33" t="s">
        <v>169</v>
      </c>
      <c r="E591" s="34" t="s">
        <v>170</v>
      </c>
      <c r="F591" s="33" t="s">
        <v>163</v>
      </c>
    </row>
    <row r="592" spans="1:6" ht="15" thickBot="1">
      <c r="A592" s="31">
        <v>6282095</v>
      </c>
      <c r="B592" s="32">
        <v>80000000</v>
      </c>
      <c r="C592" s="33" t="s">
        <v>262</v>
      </c>
      <c r="D592" s="33" t="s">
        <v>169</v>
      </c>
      <c r="E592" s="34" t="s">
        <v>170</v>
      </c>
      <c r="F592" s="33" t="s">
        <v>163</v>
      </c>
    </row>
    <row r="593" spans="1:6" ht="15" thickBot="1">
      <c r="A593" s="31">
        <v>6282155</v>
      </c>
      <c r="B593" s="32">
        <v>85000000</v>
      </c>
      <c r="C593" s="33" t="s">
        <v>262</v>
      </c>
      <c r="D593" s="33" t="s">
        <v>169</v>
      </c>
      <c r="E593" s="34" t="s">
        <v>170</v>
      </c>
      <c r="F593" s="33" t="s">
        <v>163</v>
      </c>
    </row>
    <row r="594" spans="1:6" ht="15" thickBot="1">
      <c r="A594" s="31">
        <v>6282236</v>
      </c>
      <c r="B594" s="32">
        <v>85000000</v>
      </c>
      <c r="C594" s="33" t="s">
        <v>198</v>
      </c>
      <c r="D594" s="33" t="s">
        <v>169</v>
      </c>
      <c r="E594" s="34" t="s">
        <v>170</v>
      </c>
      <c r="F594" s="33" t="s">
        <v>163</v>
      </c>
    </row>
    <row r="595" spans="1:6" ht="15" thickBot="1">
      <c r="A595" s="31">
        <v>6282364</v>
      </c>
      <c r="B595" s="32">
        <v>42000000</v>
      </c>
      <c r="C595" s="33" t="s">
        <v>198</v>
      </c>
      <c r="D595" s="33" t="s">
        <v>169</v>
      </c>
      <c r="E595" s="34" t="s">
        <v>170</v>
      </c>
      <c r="F595" s="33" t="s">
        <v>163</v>
      </c>
    </row>
    <row r="596" spans="1:6" ht="15" thickBot="1">
      <c r="A596" s="31">
        <v>6284063</v>
      </c>
      <c r="B596" s="32">
        <v>40000000</v>
      </c>
      <c r="C596" s="33" t="s">
        <v>180</v>
      </c>
      <c r="D596" s="33" t="s">
        <v>165</v>
      </c>
      <c r="E596" s="33" t="s">
        <v>166</v>
      </c>
      <c r="F596" s="33" t="s">
        <v>163</v>
      </c>
    </row>
    <row r="597" spans="1:6" ht="15" thickBot="1">
      <c r="A597" s="31">
        <v>6284439</v>
      </c>
      <c r="B597" s="32">
        <v>105000000</v>
      </c>
      <c r="C597" s="33" t="s">
        <v>191</v>
      </c>
      <c r="D597" s="33" t="s">
        <v>169</v>
      </c>
      <c r="E597" s="34" t="s">
        <v>170</v>
      </c>
      <c r="F597" s="33" t="s">
        <v>163</v>
      </c>
    </row>
    <row r="598" spans="1:6" ht="15" thickBot="1">
      <c r="A598" s="31">
        <v>6285987</v>
      </c>
      <c r="B598" s="32">
        <v>200000</v>
      </c>
      <c r="C598" s="33" t="s">
        <v>262</v>
      </c>
      <c r="D598" s="33" t="s">
        <v>169</v>
      </c>
      <c r="E598" s="34" t="s">
        <v>170</v>
      </c>
      <c r="F598" s="33" t="s">
        <v>167</v>
      </c>
    </row>
    <row r="599" spans="1:6" ht="15" thickBot="1">
      <c r="A599" s="31">
        <v>6285993</v>
      </c>
      <c r="B599" s="32">
        <v>200000</v>
      </c>
      <c r="C599" s="33" t="s">
        <v>262</v>
      </c>
      <c r="D599" s="33" t="s">
        <v>169</v>
      </c>
      <c r="E599" s="34" t="s">
        <v>170</v>
      </c>
      <c r="F599" s="33" t="s">
        <v>167</v>
      </c>
    </row>
    <row r="600" spans="1:6" ht="15" thickBot="1">
      <c r="A600" s="31">
        <v>6286011</v>
      </c>
      <c r="B600" s="32">
        <v>190000</v>
      </c>
      <c r="C600" s="33" t="s">
        <v>262</v>
      </c>
      <c r="D600" s="33" t="s">
        <v>169</v>
      </c>
      <c r="E600" s="34" t="s">
        <v>170</v>
      </c>
      <c r="F600" s="33" t="s">
        <v>167</v>
      </c>
    </row>
    <row r="601" spans="1:6" ht="15" thickBot="1">
      <c r="A601" s="31">
        <v>6286021</v>
      </c>
      <c r="B601" s="32">
        <v>300000</v>
      </c>
      <c r="C601" s="33" t="s">
        <v>262</v>
      </c>
      <c r="D601" s="33" t="s">
        <v>169</v>
      </c>
      <c r="E601" s="34" t="s">
        <v>170</v>
      </c>
      <c r="F601" s="33" t="s">
        <v>167</v>
      </c>
    </row>
    <row r="602" spans="1:6" ht="15" thickBot="1">
      <c r="A602" s="31">
        <v>6286033</v>
      </c>
      <c r="B602" s="32">
        <v>120000</v>
      </c>
      <c r="C602" s="33" t="s">
        <v>198</v>
      </c>
      <c r="D602" s="33" t="s">
        <v>169</v>
      </c>
      <c r="E602" s="34" t="s">
        <v>170</v>
      </c>
      <c r="F602" s="33" t="s">
        <v>167</v>
      </c>
    </row>
    <row r="603" spans="1:6" ht="29" thickBot="1">
      <c r="A603" s="31">
        <v>6286199</v>
      </c>
      <c r="B603" s="32">
        <v>80000</v>
      </c>
      <c r="C603" s="33" t="s">
        <v>261</v>
      </c>
      <c r="D603" s="33" t="s">
        <v>161</v>
      </c>
      <c r="E603" s="33" t="s">
        <v>162</v>
      </c>
      <c r="F603" s="33" t="s">
        <v>167</v>
      </c>
    </row>
    <row r="604" spans="1:6" ht="15" thickBot="1">
      <c r="A604" s="31">
        <v>6288391</v>
      </c>
      <c r="B604" s="32">
        <v>20000000</v>
      </c>
      <c r="C604" s="33" t="s">
        <v>202</v>
      </c>
      <c r="D604" s="33" t="s">
        <v>174</v>
      </c>
      <c r="E604" s="33" t="s">
        <v>166</v>
      </c>
      <c r="F604" s="33" t="s">
        <v>163</v>
      </c>
    </row>
    <row r="605" spans="1:6" ht="15" thickBot="1">
      <c r="A605" s="31">
        <v>6288736</v>
      </c>
      <c r="B605" s="32">
        <v>54000000</v>
      </c>
      <c r="C605" s="33" t="s">
        <v>318</v>
      </c>
      <c r="D605" s="33" t="s">
        <v>169</v>
      </c>
      <c r="E605" s="34" t="s">
        <v>170</v>
      </c>
      <c r="F605" s="33" t="s">
        <v>163</v>
      </c>
    </row>
    <row r="606" spans="1:6" ht="15" thickBot="1">
      <c r="A606" s="31">
        <v>6288959</v>
      </c>
      <c r="B606" s="32">
        <v>43000</v>
      </c>
      <c r="C606" s="33" t="s">
        <v>177</v>
      </c>
      <c r="D606" s="33" t="s">
        <v>169</v>
      </c>
      <c r="E606" s="34" t="s">
        <v>170</v>
      </c>
      <c r="F606" s="33" t="s">
        <v>167</v>
      </c>
    </row>
    <row r="607" spans="1:6" ht="15" thickBot="1">
      <c r="A607" s="31">
        <v>6295342</v>
      </c>
      <c r="B607" s="32">
        <v>1500000</v>
      </c>
      <c r="C607" s="33" t="s">
        <v>180</v>
      </c>
      <c r="D607" s="33" t="s">
        <v>165</v>
      </c>
      <c r="E607" s="33" t="s">
        <v>166</v>
      </c>
      <c r="F607" s="33" t="s">
        <v>163</v>
      </c>
    </row>
    <row r="608" spans="1:6" ht="15" thickBot="1">
      <c r="A608" s="31">
        <v>6309154</v>
      </c>
      <c r="B608" s="32">
        <v>100000000</v>
      </c>
      <c r="C608" s="33" t="s">
        <v>202</v>
      </c>
      <c r="D608" s="33" t="s">
        <v>174</v>
      </c>
      <c r="E608" s="33" t="s">
        <v>166</v>
      </c>
      <c r="F608" s="33" t="s">
        <v>163</v>
      </c>
    </row>
    <row r="609" spans="1:6" ht="29" thickBot="1">
      <c r="A609" s="31">
        <v>6310105</v>
      </c>
      <c r="B609" s="32">
        <v>140000</v>
      </c>
      <c r="C609" s="33" t="s">
        <v>261</v>
      </c>
      <c r="D609" s="33" t="s">
        <v>161</v>
      </c>
      <c r="E609" s="33" t="s">
        <v>162</v>
      </c>
      <c r="F609" s="33" t="s">
        <v>167</v>
      </c>
    </row>
    <row r="610" spans="1:6" ht="15" thickBot="1">
      <c r="A610" s="31">
        <v>6319714</v>
      </c>
      <c r="B610" s="32">
        <v>9000</v>
      </c>
      <c r="C610" s="33" t="s">
        <v>180</v>
      </c>
      <c r="D610" s="33" t="s">
        <v>165</v>
      </c>
      <c r="E610" s="33" t="s">
        <v>166</v>
      </c>
      <c r="F610" s="33" t="s">
        <v>167</v>
      </c>
    </row>
    <row r="611" spans="1:6" ht="15" thickBot="1">
      <c r="A611" s="31">
        <v>6321847</v>
      </c>
      <c r="B611" s="32">
        <v>7500000</v>
      </c>
      <c r="C611" s="33" t="s">
        <v>319</v>
      </c>
      <c r="D611" s="33" t="s">
        <v>165</v>
      </c>
      <c r="E611" s="33" t="s">
        <v>166</v>
      </c>
      <c r="F611" s="33" t="s">
        <v>163</v>
      </c>
    </row>
    <row r="612" spans="1:6" ht="15" thickBot="1">
      <c r="A612" s="31">
        <v>6322068</v>
      </c>
      <c r="B612" s="32">
        <v>17500000</v>
      </c>
      <c r="C612" s="33" t="s">
        <v>225</v>
      </c>
      <c r="D612" s="33" t="s">
        <v>165</v>
      </c>
      <c r="E612" s="33" t="s">
        <v>166</v>
      </c>
      <c r="F612" s="33" t="s">
        <v>163</v>
      </c>
    </row>
    <row r="613" spans="1:6" ht="15" thickBot="1">
      <c r="A613" s="31">
        <v>6322102</v>
      </c>
      <c r="B613" s="32">
        <v>58000</v>
      </c>
      <c r="C613" s="33" t="s">
        <v>244</v>
      </c>
      <c r="D613" s="33" t="s">
        <v>165</v>
      </c>
      <c r="E613" s="33" t="s">
        <v>166</v>
      </c>
      <c r="F613" s="33" t="s">
        <v>167</v>
      </c>
    </row>
    <row r="614" spans="1:6" ht="15" thickBot="1">
      <c r="A614" s="31">
        <v>6322136</v>
      </c>
      <c r="B614" s="32">
        <v>65000</v>
      </c>
      <c r="C614" s="33" t="s">
        <v>226</v>
      </c>
      <c r="D614" s="33" t="s">
        <v>165</v>
      </c>
      <c r="E614" s="33" t="s">
        <v>166</v>
      </c>
      <c r="F614" s="33" t="s">
        <v>167</v>
      </c>
    </row>
    <row r="615" spans="1:6" ht="15" thickBot="1">
      <c r="A615" s="31">
        <v>6322389</v>
      </c>
      <c r="B615" s="32">
        <v>12000000</v>
      </c>
      <c r="C615" s="33" t="s">
        <v>180</v>
      </c>
      <c r="D615" s="33" t="s">
        <v>165</v>
      </c>
      <c r="E615" s="33" t="s">
        <v>166</v>
      </c>
      <c r="F615" s="33" t="s">
        <v>163</v>
      </c>
    </row>
    <row r="616" spans="1:6" ht="15" thickBot="1">
      <c r="A616" s="31">
        <v>6334627</v>
      </c>
      <c r="B616" s="32">
        <v>7800000</v>
      </c>
      <c r="C616" s="33" t="s">
        <v>177</v>
      </c>
      <c r="D616" s="33" t="s">
        <v>161</v>
      </c>
      <c r="E616" s="33" t="s">
        <v>162</v>
      </c>
      <c r="F616" s="33" t="s">
        <v>163</v>
      </c>
    </row>
    <row r="617" spans="1:6" ht="15" thickBot="1">
      <c r="A617" s="31">
        <v>6335676</v>
      </c>
      <c r="B617" s="32">
        <v>90000</v>
      </c>
      <c r="C617" s="33" t="s">
        <v>198</v>
      </c>
      <c r="D617" s="33" t="s">
        <v>169</v>
      </c>
      <c r="E617" s="34" t="s">
        <v>170</v>
      </c>
      <c r="F617" s="33" t="s">
        <v>167</v>
      </c>
    </row>
    <row r="618" spans="1:6" ht="15" thickBot="1">
      <c r="A618" s="31">
        <v>6346262</v>
      </c>
      <c r="B618" s="32">
        <v>23500000</v>
      </c>
      <c r="C618" s="33" t="s">
        <v>180</v>
      </c>
      <c r="D618" s="33" t="s">
        <v>165</v>
      </c>
      <c r="E618" s="33" t="s">
        <v>166</v>
      </c>
      <c r="F618" s="33" t="s">
        <v>163</v>
      </c>
    </row>
    <row r="619" spans="1:6" ht="15" thickBot="1">
      <c r="A619" s="31">
        <v>6346351</v>
      </c>
      <c r="B619" s="32">
        <v>27500000</v>
      </c>
      <c r="C619" s="33" t="s">
        <v>180</v>
      </c>
      <c r="D619" s="33" t="s">
        <v>165</v>
      </c>
      <c r="E619" s="33" t="s">
        <v>166</v>
      </c>
      <c r="F619" s="33" t="s">
        <v>163</v>
      </c>
    </row>
    <row r="620" spans="1:6" ht="15" thickBot="1">
      <c r="A620" s="31">
        <v>6347070</v>
      </c>
      <c r="B620" s="32">
        <v>110000</v>
      </c>
      <c r="C620" s="33" t="s">
        <v>198</v>
      </c>
      <c r="D620" s="33" t="s">
        <v>169</v>
      </c>
      <c r="E620" s="34" t="s">
        <v>170</v>
      </c>
      <c r="F620" s="33" t="s">
        <v>167</v>
      </c>
    </row>
    <row r="621" spans="1:6" ht="15" thickBot="1">
      <c r="A621" s="31">
        <v>6356275</v>
      </c>
      <c r="B621" s="32">
        <v>8500000</v>
      </c>
      <c r="C621" s="33" t="s">
        <v>183</v>
      </c>
      <c r="D621" s="33" t="s">
        <v>169</v>
      </c>
      <c r="E621" s="34" t="s">
        <v>170</v>
      </c>
      <c r="F621" s="33" t="s">
        <v>163</v>
      </c>
    </row>
    <row r="622" spans="1:6" ht="15" thickBot="1">
      <c r="A622" s="31">
        <v>6364276</v>
      </c>
      <c r="B622" s="32">
        <v>35000000</v>
      </c>
      <c r="C622" s="33" t="s">
        <v>309</v>
      </c>
      <c r="D622" s="33" t="s">
        <v>165</v>
      </c>
      <c r="E622" s="33" t="s">
        <v>166</v>
      </c>
      <c r="F622" s="33" t="s">
        <v>163</v>
      </c>
    </row>
    <row r="623" spans="1:6" ht="15" thickBot="1">
      <c r="A623" s="31">
        <v>6365163</v>
      </c>
      <c r="B623" s="32">
        <v>22500000</v>
      </c>
      <c r="C623" s="33" t="s">
        <v>177</v>
      </c>
      <c r="D623" s="33" t="s">
        <v>161</v>
      </c>
      <c r="E623" s="33" t="s">
        <v>162</v>
      </c>
      <c r="F623" s="33" t="s">
        <v>163</v>
      </c>
    </row>
    <row r="624" spans="1:6" ht="29" thickBot="1">
      <c r="A624" s="31">
        <v>6365357</v>
      </c>
      <c r="B624" s="32">
        <v>32500000</v>
      </c>
      <c r="C624" s="33" t="s">
        <v>308</v>
      </c>
      <c r="D624" s="33" t="s">
        <v>174</v>
      </c>
      <c r="E624" s="33" t="s">
        <v>166</v>
      </c>
      <c r="F624" s="33" t="s">
        <v>163</v>
      </c>
    </row>
    <row r="625" spans="1:6" ht="29" thickBot="1">
      <c r="A625" s="31">
        <v>6365556</v>
      </c>
      <c r="B625" s="32">
        <v>34000000</v>
      </c>
      <c r="C625" s="33" t="s">
        <v>308</v>
      </c>
      <c r="D625" s="33" t="s">
        <v>174</v>
      </c>
      <c r="E625" s="33" t="s">
        <v>166</v>
      </c>
      <c r="F625" s="33" t="s">
        <v>163</v>
      </c>
    </row>
    <row r="626" spans="1:6" ht="15" thickBot="1">
      <c r="A626" s="31">
        <v>6366202</v>
      </c>
      <c r="B626" s="32">
        <v>103500000</v>
      </c>
      <c r="C626" s="33" t="s">
        <v>282</v>
      </c>
      <c r="D626" s="33" t="s">
        <v>161</v>
      </c>
      <c r="E626" s="33" t="s">
        <v>162</v>
      </c>
      <c r="F626" s="33" t="s">
        <v>163</v>
      </c>
    </row>
    <row r="627" spans="1:6" ht="15" thickBot="1">
      <c r="A627" s="31">
        <v>6366312</v>
      </c>
      <c r="B627" s="32">
        <v>11000000</v>
      </c>
      <c r="C627" s="33" t="s">
        <v>180</v>
      </c>
      <c r="D627" s="33" t="s">
        <v>165</v>
      </c>
      <c r="E627" s="33" t="s">
        <v>166</v>
      </c>
      <c r="F627" s="33" t="s">
        <v>163</v>
      </c>
    </row>
    <row r="628" spans="1:6" ht="15" thickBot="1">
      <c r="A628" s="31">
        <v>6366598</v>
      </c>
      <c r="B628" s="32">
        <v>30000000</v>
      </c>
      <c r="C628" s="33" t="s">
        <v>177</v>
      </c>
      <c r="D628" s="33" t="s">
        <v>161</v>
      </c>
      <c r="E628" s="33" t="s">
        <v>162</v>
      </c>
      <c r="F628" s="33" t="s">
        <v>163</v>
      </c>
    </row>
    <row r="629" spans="1:6" ht="15" thickBot="1">
      <c r="A629" s="31">
        <v>6366697</v>
      </c>
      <c r="B629" s="32">
        <v>53000000</v>
      </c>
      <c r="C629" s="33" t="s">
        <v>177</v>
      </c>
      <c r="D629" s="33" t="s">
        <v>161</v>
      </c>
      <c r="E629" s="33" t="s">
        <v>162</v>
      </c>
      <c r="F629" s="33" t="s">
        <v>163</v>
      </c>
    </row>
    <row r="630" spans="1:6" ht="15" thickBot="1">
      <c r="A630" s="31">
        <v>6369112</v>
      </c>
      <c r="B630" s="32">
        <v>6500000</v>
      </c>
      <c r="C630" s="33" t="s">
        <v>279</v>
      </c>
      <c r="D630" s="33" t="s">
        <v>161</v>
      </c>
      <c r="E630" s="33" t="s">
        <v>162</v>
      </c>
      <c r="F630" s="33" t="s">
        <v>163</v>
      </c>
    </row>
    <row r="631" spans="1:6" ht="15" thickBot="1">
      <c r="A631" s="31">
        <v>6373398</v>
      </c>
      <c r="B631" s="32">
        <v>52500000</v>
      </c>
      <c r="C631" s="33" t="s">
        <v>277</v>
      </c>
      <c r="D631" s="33" t="s">
        <v>174</v>
      </c>
      <c r="E631" s="33" t="s">
        <v>166</v>
      </c>
      <c r="F631" s="33" t="s">
        <v>163</v>
      </c>
    </row>
    <row r="632" spans="1:6" ht="15" thickBot="1">
      <c r="A632" s="31">
        <v>6380335</v>
      </c>
      <c r="B632" s="32">
        <v>55000000</v>
      </c>
      <c r="C632" s="33" t="s">
        <v>177</v>
      </c>
      <c r="D632" s="33" t="s">
        <v>161</v>
      </c>
      <c r="E632" s="33" t="s">
        <v>162</v>
      </c>
      <c r="F632" s="33" t="s">
        <v>163</v>
      </c>
    </row>
    <row r="633" spans="1:6" ht="15" thickBot="1">
      <c r="A633" s="31">
        <v>6381308</v>
      </c>
      <c r="B633" s="32">
        <v>8000000</v>
      </c>
      <c r="C633" s="33" t="s">
        <v>171</v>
      </c>
      <c r="D633" s="33" t="s">
        <v>161</v>
      </c>
      <c r="E633" s="33" t="s">
        <v>162</v>
      </c>
      <c r="F633" s="33" t="s">
        <v>163</v>
      </c>
    </row>
    <row r="634" spans="1:6" ht="15" thickBot="1">
      <c r="A634" s="31">
        <v>6382328</v>
      </c>
      <c r="B634" s="32">
        <v>15000000</v>
      </c>
      <c r="C634" s="33" t="s">
        <v>177</v>
      </c>
      <c r="D634" s="33" t="s">
        <v>161</v>
      </c>
      <c r="E634" s="33" t="s">
        <v>162</v>
      </c>
      <c r="F634" s="33" t="s">
        <v>163</v>
      </c>
    </row>
    <row r="635" spans="1:6" ht="15" thickBot="1">
      <c r="A635" s="31">
        <v>6382337</v>
      </c>
      <c r="B635" s="32">
        <v>22500000</v>
      </c>
      <c r="C635" s="33" t="s">
        <v>177</v>
      </c>
      <c r="D635" s="33" t="s">
        <v>161</v>
      </c>
      <c r="E635" s="33" t="s">
        <v>162</v>
      </c>
      <c r="F635" s="33" t="s">
        <v>163</v>
      </c>
    </row>
    <row r="636" spans="1:6" ht="15" thickBot="1">
      <c r="A636" s="31">
        <v>6382347</v>
      </c>
      <c r="B636" s="32">
        <v>32500000</v>
      </c>
      <c r="C636" s="33" t="s">
        <v>177</v>
      </c>
      <c r="D636" s="33" t="s">
        <v>161</v>
      </c>
      <c r="E636" s="33" t="s">
        <v>162</v>
      </c>
      <c r="F636" s="33" t="s">
        <v>163</v>
      </c>
    </row>
    <row r="637" spans="1:6" ht="15" thickBot="1">
      <c r="A637" s="31">
        <v>6390122</v>
      </c>
      <c r="B637" s="32">
        <v>8000000</v>
      </c>
      <c r="C637" s="33" t="s">
        <v>171</v>
      </c>
      <c r="D637" s="33" t="s">
        <v>161</v>
      </c>
      <c r="E637" s="33" t="s">
        <v>162</v>
      </c>
      <c r="F637" s="33" t="s">
        <v>163</v>
      </c>
    </row>
    <row r="638" spans="1:6" ht="15" thickBot="1">
      <c r="A638" s="31">
        <v>6395780</v>
      </c>
      <c r="B638" s="32">
        <v>43500000</v>
      </c>
      <c r="C638" s="33" t="s">
        <v>177</v>
      </c>
      <c r="D638" s="33" t="s">
        <v>161</v>
      </c>
      <c r="E638" s="33" t="s">
        <v>162</v>
      </c>
      <c r="F638" s="33" t="s">
        <v>163</v>
      </c>
    </row>
    <row r="639" spans="1:6" ht="15" thickBot="1">
      <c r="A639" s="31">
        <v>6397876</v>
      </c>
      <c r="B639" s="32">
        <v>25000</v>
      </c>
      <c r="C639" s="33" t="s">
        <v>172</v>
      </c>
      <c r="D639" s="33" t="s">
        <v>169</v>
      </c>
      <c r="E639" s="34" t="s">
        <v>170</v>
      </c>
      <c r="F639" s="33" t="s">
        <v>167</v>
      </c>
    </row>
    <row r="640" spans="1:6" ht="15" thickBot="1">
      <c r="A640" s="31">
        <v>6397877</v>
      </c>
      <c r="B640" s="32">
        <v>35000</v>
      </c>
      <c r="C640" s="33" t="s">
        <v>172</v>
      </c>
      <c r="D640" s="33" t="s">
        <v>169</v>
      </c>
      <c r="E640" s="34" t="s">
        <v>170</v>
      </c>
      <c r="F640" s="33" t="s">
        <v>167</v>
      </c>
    </row>
    <row r="641" spans="1:6" ht="15" thickBot="1">
      <c r="A641" s="31">
        <v>6397878</v>
      </c>
      <c r="B641" s="32">
        <v>35000</v>
      </c>
      <c r="C641" s="33" t="s">
        <v>172</v>
      </c>
      <c r="D641" s="33" t="s">
        <v>169</v>
      </c>
      <c r="E641" s="34" t="s">
        <v>170</v>
      </c>
      <c r="F641" s="33" t="s">
        <v>167</v>
      </c>
    </row>
    <row r="642" spans="1:6" ht="15" thickBot="1">
      <c r="A642" s="31">
        <v>6409111</v>
      </c>
      <c r="B642" s="32">
        <v>16000</v>
      </c>
      <c r="C642" s="33" t="s">
        <v>276</v>
      </c>
      <c r="D642" s="33" t="s">
        <v>165</v>
      </c>
      <c r="E642" s="33" t="s">
        <v>166</v>
      </c>
      <c r="F642" s="33" t="s">
        <v>167</v>
      </c>
    </row>
    <row r="643" spans="1:6" ht="15" thickBot="1">
      <c r="A643" s="31">
        <v>6416013</v>
      </c>
      <c r="B643" s="32">
        <v>160000000</v>
      </c>
      <c r="C643" s="33" t="s">
        <v>182</v>
      </c>
      <c r="D643" s="33" t="s">
        <v>174</v>
      </c>
      <c r="E643" s="33" t="s">
        <v>166</v>
      </c>
      <c r="F643" s="33" t="s">
        <v>163</v>
      </c>
    </row>
    <row r="644" spans="1:6" ht="15" thickBot="1">
      <c r="A644" s="31">
        <v>6421097</v>
      </c>
      <c r="B644" s="32">
        <v>72500000</v>
      </c>
      <c r="C644" s="33" t="s">
        <v>279</v>
      </c>
      <c r="D644" s="33" t="s">
        <v>161</v>
      </c>
      <c r="E644" s="33" t="s">
        <v>162</v>
      </c>
      <c r="F644" s="33" t="s">
        <v>163</v>
      </c>
    </row>
    <row r="645" spans="1:6" ht="15" thickBot="1">
      <c r="A645" s="31">
        <v>6422227</v>
      </c>
      <c r="B645" s="32">
        <v>22000000</v>
      </c>
      <c r="C645" s="33" t="s">
        <v>180</v>
      </c>
      <c r="D645" s="33" t="s">
        <v>165</v>
      </c>
      <c r="E645" s="33" t="s">
        <v>166</v>
      </c>
      <c r="F645" s="33" t="s">
        <v>163</v>
      </c>
    </row>
    <row r="646" spans="1:6" ht="15" thickBot="1">
      <c r="A646" s="31">
        <v>6427057</v>
      </c>
      <c r="B646" s="32">
        <v>50000000</v>
      </c>
      <c r="C646" s="33" t="s">
        <v>218</v>
      </c>
      <c r="D646" s="33" t="s">
        <v>161</v>
      </c>
      <c r="E646" s="33" t="s">
        <v>162</v>
      </c>
      <c r="F646" s="33" t="s">
        <v>163</v>
      </c>
    </row>
    <row r="647" spans="1:6" ht="15" thickBot="1">
      <c r="A647" s="31">
        <v>6429106</v>
      </c>
      <c r="B647" s="32">
        <v>40000000</v>
      </c>
      <c r="C647" s="33" t="s">
        <v>182</v>
      </c>
      <c r="D647" s="33" t="s">
        <v>174</v>
      </c>
      <c r="E647" s="33" t="s">
        <v>166</v>
      </c>
      <c r="F647" s="33" t="s">
        <v>163</v>
      </c>
    </row>
    <row r="648" spans="1:6" ht="15" thickBot="1">
      <c r="A648" s="31">
        <v>6429177</v>
      </c>
      <c r="B648" s="32">
        <v>54500000</v>
      </c>
      <c r="C648" s="33" t="s">
        <v>182</v>
      </c>
      <c r="D648" s="33" t="s">
        <v>174</v>
      </c>
      <c r="E648" s="33" t="s">
        <v>166</v>
      </c>
      <c r="F648" s="33" t="s">
        <v>163</v>
      </c>
    </row>
    <row r="649" spans="1:6" ht="15" thickBot="1">
      <c r="A649" s="31">
        <v>6429771</v>
      </c>
      <c r="B649" s="32">
        <v>110000</v>
      </c>
      <c r="C649" s="33" t="s">
        <v>198</v>
      </c>
      <c r="D649" s="33" t="s">
        <v>169</v>
      </c>
      <c r="E649" s="34" t="s">
        <v>170</v>
      </c>
      <c r="F649" s="33" t="s">
        <v>167</v>
      </c>
    </row>
    <row r="650" spans="1:6" ht="15" thickBot="1">
      <c r="A650" s="31">
        <v>6432127</v>
      </c>
      <c r="B650" s="32">
        <v>52500000</v>
      </c>
      <c r="C650" s="33" t="s">
        <v>182</v>
      </c>
      <c r="D650" s="33" t="s">
        <v>174</v>
      </c>
      <c r="E650" s="33" t="s">
        <v>166</v>
      </c>
      <c r="F650" s="33" t="s">
        <v>163</v>
      </c>
    </row>
    <row r="651" spans="1:6" ht="15" thickBot="1">
      <c r="A651" s="31">
        <v>6433945</v>
      </c>
      <c r="B651" s="32">
        <v>140000000</v>
      </c>
      <c r="C651" s="33" t="s">
        <v>182</v>
      </c>
      <c r="D651" s="33" t="s">
        <v>174</v>
      </c>
      <c r="E651" s="33" t="s">
        <v>166</v>
      </c>
      <c r="F651" s="33" t="s">
        <v>163</v>
      </c>
    </row>
    <row r="652" spans="1:6" ht="15" thickBot="1">
      <c r="A652" s="31">
        <v>6440470</v>
      </c>
      <c r="B652" s="32">
        <v>19000000</v>
      </c>
      <c r="C652" s="33" t="s">
        <v>206</v>
      </c>
      <c r="D652" s="33" t="s">
        <v>174</v>
      </c>
      <c r="E652" s="33" t="s">
        <v>166</v>
      </c>
      <c r="F652" s="33" t="s">
        <v>163</v>
      </c>
    </row>
    <row r="653" spans="1:6" ht="15" thickBot="1">
      <c r="A653" s="31">
        <v>6440505</v>
      </c>
      <c r="B653" s="32">
        <v>55000000</v>
      </c>
      <c r="C653" s="33" t="s">
        <v>182</v>
      </c>
      <c r="D653" s="33" t="s">
        <v>174</v>
      </c>
      <c r="E653" s="33" t="s">
        <v>166</v>
      </c>
      <c r="F653" s="33" t="s">
        <v>163</v>
      </c>
    </row>
    <row r="654" spans="1:6" ht="15" thickBot="1">
      <c r="A654" s="31">
        <v>6440506</v>
      </c>
      <c r="B654" s="32">
        <v>37500000</v>
      </c>
      <c r="C654" s="33" t="s">
        <v>182</v>
      </c>
      <c r="D654" s="33" t="s">
        <v>174</v>
      </c>
      <c r="E654" s="33" t="s">
        <v>166</v>
      </c>
      <c r="F654" s="33" t="s">
        <v>163</v>
      </c>
    </row>
    <row r="655" spans="1:6" ht="15" thickBot="1">
      <c r="A655" s="31">
        <v>6440673</v>
      </c>
      <c r="B655" s="32">
        <v>90000000</v>
      </c>
      <c r="C655" s="33" t="s">
        <v>196</v>
      </c>
      <c r="D655" s="33" t="s">
        <v>161</v>
      </c>
      <c r="E655" s="33" t="s">
        <v>162</v>
      </c>
      <c r="F655" s="33" t="s">
        <v>163</v>
      </c>
    </row>
    <row r="656" spans="1:6" ht="15" thickBot="1">
      <c r="A656" s="31">
        <v>6458933</v>
      </c>
      <c r="B656" s="32">
        <v>23000000</v>
      </c>
      <c r="C656" s="33" t="s">
        <v>180</v>
      </c>
      <c r="D656" s="33" t="s">
        <v>165</v>
      </c>
      <c r="E656" s="33" t="s">
        <v>166</v>
      </c>
      <c r="F656" s="33" t="s">
        <v>163</v>
      </c>
    </row>
    <row r="657" spans="1:6" ht="15" thickBot="1">
      <c r="A657" s="31">
        <v>6459143</v>
      </c>
      <c r="B657" s="32">
        <v>48000</v>
      </c>
      <c r="C657" s="33" t="s">
        <v>225</v>
      </c>
      <c r="D657" s="33" t="s">
        <v>165</v>
      </c>
      <c r="E657" s="33" t="s">
        <v>166</v>
      </c>
      <c r="F657" s="33" t="s">
        <v>167</v>
      </c>
    </row>
    <row r="658" spans="1:6" ht="15" thickBot="1">
      <c r="A658" s="31">
        <v>6468068</v>
      </c>
      <c r="B658" s="32">
        <v>33000000</v>
      </c>
      <c r="C658" s="33" t="s">
        <v>201</v>
      </c>
      <c r="D658" s="33" t="s">
        <v>169</v>
      </c>
      <c r="E658" s="34" t="s">
        <v>170</v>
      </c>
      <c r="F658" s="33" t="s">
        <v>163</v>
      </c>
    </row>
    <row r="659" spans="1:6" ht="15" thickBot="1">
      <c r="A659" s="31">
        <v>6468994</v>
      </c>
      <c r="B659" s="32">
        <v>22500000</v>
      </c>
      <c r="C659" s="33" t="s">
        <v>177</v>
      </c>
      <c r="D659" s="33" t="s">
        <v>161</v>
      </c>
      <c r="E659" s="33" t="s">
        <v>162</v>
      </c>
      <c r="F659" s="33" t="s">
        <v>163</v>
      </c>
    </row>
    <row r="660" spans="1:6" ht="15" thickBot="1">
      <c r="A660" s="31">
        <v>6469635</v>
      </c>
      <c r="B660" s="32">
        <v>32000000</v>
      </c>
      <c r="C660" s="33" t="s">
        <v>320</v>
      </c>
      <c r="D660" s="33" t="s">
        <v>174</v>
      </c>
      <c r="E660" s="33" t="s">
        <v>166</v>
      </c>
      <c r="F660" s="33" t="s">
        <v>163</v>
      </c>
    </row>
    <row r="661" spans="1:6" ht="15" thickBot="1">
      <c r="A661" s="31">
        <v>6470440</v>
      </c>
      <c r="B661" s="32">
        <v>65000</v>
      </c>
      <c r="C661" s="33" t="s">
        <v>180</v>
      </c>
      <c r="D661" s="33" t="s">
        <v>165</v>
      </c>
      <c r="E661" s="33" t="s">
        <v>166</v>
      </c>
      <c r="F661" s="33" t="s">
        <v>167</v>
      </c>
    </row>
    <row r="662" spans="1:6" ht="15" thickBot="1">
      <c r="A662" s="31">
        <v>6472261</v>
      </c>
      <c r="B662" s="32">
        <v>65000</v>
      </c>
      <c r="C662" s="33" t="s">
        <v>321</v>
      </c>
      <c r="D662" s="33" t="s">
        <v>165</v>
      </c>
      <c r="E662" s="33" t="s">
        <v>166</v>
      </c>
      <c r="F662" s="33" t="s">
        <v>167</v>
      </c>
    </row>
    <row r="663" spans="1:6" ht="15" thickBot="1">
      <c r="A663" s="31">
        <v>6472343</v>
      </c>
      <c r="B663" s="32">
        <v>300000</v>
      </c>
      <c r="C663" s="33" t="s">
        <v>177</v>
      </c>
      <c r="D663" s="33" t="s">
        <v>161</v>
      </c>
      <c r="E663" s="33" t="s">
        <v>162</v>
      </c>
      <c r="F663" s="33" t="s">
        <v>167</v>
      </c>
    </row>
    <row r="664" spans="1:6" ht="15" thickBot="1">
      <c r="A664" s="31">
        <v>6472689</v>
      </c>
      <c r="B664" s="32">
        <v>15000000</v>
      </c>
      <c r="C664" s="33" t="s">
        <v>177</v>
      </c>
      <c r="D664" s="33" t="s">
        <v>169</v>
      </c>
      <c r="E664" s="34" t="s">
        <v>170</v>
      </c>
      <c r="F664" s="33" t="s">
        <v>163</v>
      </c>
    </row>
    <row r="665" spans="1:6" ht="15" thickBot="1">
      <c r="A665" s="31">
        <v>6472791</v>
      </c>
      <c r="B665" s="32">
        <v>40000</v>
      </c>
      <c r="C665" s="33" t="s">
        <v>177</v>
      </c>
      <c r="D665" s="33" t="s">
        <v>169</v>
      </c>
      <c r="E665" s="34" t="s">
        <v>170</v>
      </c>
      <c r="F665" s="33" t="s">
        <v>167</v>
      </c>
    </row>
    <row r="666" spans="1:6" ht="15" thickBot="1">
      <c r="A666" s="31">
        <v>6473030</v>
      </c>
      <c r="B666" s="32">
        <v>45000</v>
      </c>
      <c r="C666" s="33" t="s">
        <v>265</v>
      </c>
      <c r="D666" s="33" t="s">
        <v>165</v>
      </c>
      <c r="E666" s="33" t="s">
        <v>166</v>
      </c>
      <c r="F666" s="33" t="s">
        <v>167</v>
      </c>
    </row>
    <row r="667" spans="1:6" ht="15" thickBot="1">
      <c r="A667" s="31">
        <v>6475811</v>
      </c>
      <c r="B667" s="32">
        <v>10000000</v>
      </c>
      <c r="C667" s="33" t="s">
        <v>322</v>
      </c>
      <c r="D667" s="33" t="s">
        <v>174</v>
      </c>
      <c r="E667" s="33" t="s">
        <v>166</v>
      </c>
      <c r="F667" s="33" t="s">
        <v>163</v>
      </c>
    </row>
    <row r="668" spans="1:6" ht="15" thickBot="1">
      <c r="A668" s="31">
        <v>6484598</v>
      </c>
      <c r="B668" s="32">
        <v>13000000</v>
      </c>
      <c r="C668" s="33" t="s">
        <v>196</v>
      </c>
      <c r="D668" s="33" t="s">
        <v>161</v>
      </c>
      <c r="E668" s="33" t="s">
        <v>162</v>
      </c>
      <c r="F668" s="33" t="s">
        <v>163</v>
      </c>
    </row>
    <row r="669" spans="1:6" ht="15" thickBot="1">
      <c r="A669" s="31">
        <v>6494408</v>
      </c>
      <c r="B669" s="32">
        <v>11500000</v>
      </c>
      <c r="C669" s="33" t="s">
        <v>171</v>
      </c>
      <c r="D669" s="33" t="s">
        <v>161</v>
      </c>
      <c r="E669" s="33" t="s">
        <v>162</v>
      </c>
      <c r="F669" s="33" t="s">
        <v>163</v>
      </c>
    </row>
    <row r="670" spans="1:6" ht="15" thickBot="1">
      <c r="A670" s="31">
        <v>6498209</v>
      </c>
      <c r="B670" s="32">
        <v>44500000</v>
      </c>
      <c r="C670" s="33" t="s">
        <v>177</v>
      </c>
      <c r="D670" s="33" t="s">
        <v>174</v>
      </c>
      <c r="E670" s="33" t="s">
        <v>166</v>
      </c>
      <c r="F670" s="33" t="s">
        <v>163</v>
      </c>
    </row>
    <row r="671" spans="1:6" ht="15" thickBot="1">
      <c r="A671" s="31">
        <v>6499112</v>
      </c>
      <c r="B671" s="32">
        <v>4790000</v>
      </c>
      <c r="C671" s="33" t="s">
        <v>272</v>
      </c>
      <c r="D671" s="33" t="s">
        <v>161</v>
      </c>
      <c r="E671" s="33" t="s">
        <v>162</v>
      </c>
      <c r="F671" s="33" t="s">
        <v>163</v>
      </c>
    </row>
    <row r="672" spans="1:6" ht="15" thickBot="1">
      <c r="A672" s="31">
        <v>6499790</v>
      </c>
      <c r="B672" s="32">
        <v>59000000</v>
      </c>
      <c r="C672" s="33" t="s">
        <v>180</v>
      </c>
      <c r="D672" s="33" t="s">
        <v>165</v>
      </c>
      <c r="E672" s="33" t="s">
        <v>166</v>
      </c>
      <c r="F672" s="33" t="s">
        <v>163</v>
      </c>
    </row>
    <row r="673" spans="1:6" ht="15" thickBot="1">
      <c r="A673" s="31">
        <v>6500915</v>
      </c>
      <c r="B673" s="32">
        <v>3200000</v>
      </c>
      <c r="C673" s="33" t="s">
        <v>187</v>
      </c>
      <c r="D673" s="33" t="s">
        <v>161</v>
      </c>
      <c r="E673" s="33" t="s">
        <v>162</v>
      </c>
      <c r="F673" s="33" t="s">
        <v>163</v>
      </c>
    </row>
    <row r="674" spans="1:6" ht="15" thickBot="1">
      <c r="A674" s="31">
        <v>6502989</v>
      </c>
      <c r="B674" s="32">
        <v>13000000</v>
      </c>
      <c r="C674" s="33" t="s">
        <v>264</v>
      </c>
      <c r="D674" s="33" t="s">
        <v>169</v>
      </c>
      <c r="E674" s="34" t="s">
        <v>170</v>
      </c>
      <c r="F674" s="33" t="s">
        <v>163</v>
      </c>
    </row>
    <row r="675" spans="1:6" ht="15" thickBot="1">
      <c r="A675" s="31">
        <v>6507566</v>
      </c>
      <c r="B675" s="32">
        <v>6000000</v>
      </c>
      <c r="C675" s="33" t="s">
        <v>272</v>
      </c>
      <c r="D675" s="33" t="s">
        <v>161</v>
      </c>
      <c r="E675" s="33" t="s">
        <v>162</v>
      </c>
      <c r="F675" s="33" t="s">
        <v>163</v>
      </c>
    </row>
    <row r="676" spans="1:6" ht="15" thickBot="1">
      <c r="A676" s="31">
        <v>6508531</v>
      </c>
      <c r="B676" s="32">
        <v>18000000</v>
      </c>
      <c r="C676" s="33" t="s">
        <v>196</v>
      </c>
      <c r="D676" s="33" t="s">
        <v>161</v>
      </c>
      <c r="E676" s="33" t="s">
        <v>162</v>
      </c>
      <c r="F676" s="33" t="s">
        <v>163</v>
      </c>
    </row>
    <row r="677" spans="1:6" ht="15" thickBot="1">
      <c r="A677" s="31">
        <v>6511996</v>
      </c>
      <c r="B677" s="32">
        <v>12400000</v>
      </c>
      <c r="C677" s="33" t="s">
        <v>323</v>
      </c>
      <c r="D677" s="33" t="s">
        <v>161</v>
      </c>
      <c r="E677" s="33" t="s">
        <v>162</v>
      </c>
      <c r="F677" s="33" t="s">
        <v>163</v>
      </c>
    </row>
    <row r="678" spans="1:6" ht="15" thickBot="1">
      <c r="A678" s="31">
        <v>6512018</v>
      </c>
      <c r="B678" s="32">
        <v>9500000</v>
      </c>
      <c r="C678" s="33" t="s">
        <v>160</v>
      </c>
      <c r="D678" s="33" t="s">
        <v>161</v>
      </c>
      <c r="E678" s="33" t="s">
        <v>162</v>
      </c>
      <c r="F678" s="33" t="s">
        <v>163</v>
      </c>
    </row>
    <row r="679" spans="1:6" ht="15" thickBot="1">
      <c r="A679" s="31">
        <v>6514524</v>
      </c>
      <c r="B679" s="32">
        <v>9000000</v>
      </c>
      <c r="C679" s="33" t="s">
        <v>160</v>
      </c>
      <c r="D679" s="33" t="s">
        <v>174</v>
      </c>
      <c r="E679" s="33" t="s">
        <v>166</v>
      </c>
      <c r="F679" s="33" t="s">
        <v>163</v>
      </c>
    </row>
    <row r="680" spans="1:6" ht="15" thickBot="1">
      <c r="A680" s="31">
        <v>6514525</v>
      </c>
      <c r="B680" s="32">
        <v>7800000</v>
      </c>
      <c r="C680" s="33" t="s">
        <v>160</v>
      </c>
      <c r="D680" s="33" t="s">
        <v>174</v>
      </c>
      <c r="E680" s="33" t="s">
        <v>166</v>
      </c>
      <c r="F680" s="33" t="s">
        <v>163</v>
      </c>
    </row>
    <row r="681" spans="1:6" ht="15" thickBot="1">
      <c r="A681" s="31">
        <v>6524207</v>
      </c>
      <c r="B681" s="32">
        <v>80000</v>
      </c>
      <c r="C681" s="33" t="s">
        <v>177</v>
      </c>
      <c r="D681" s="33" t="s">
        <v>161</v>
      </c>
      <c r="E681" s="33" t="s">
        <v>162</v>
      </c>
      <c r="F681" s="33" t="s">
        <v>167</v>
      </c>
    </row>
    <row r="682" spans="1:6" ht="15" thickBot="1">
      <c r="A682" s="31">
        <v>6524222</v>
      </c>
      <c r="B682" s="32">
        <v>190000</v>
      </c>
      <c r="C682" s="33" t="s">
        <v>177</v>
      </c>
      <c r="D682" s="33" t="s">
        <v>161</v>
      </c>
      <c r="E682" s="33" t="s">
        <v>162</v>
      </c>
      <c r="F682" s="33" t="s">
        <v>167</v>
      </c>
    </row>
    <row r="683" spans="1:6" ht="15" thickBot="1">
      <c r="A683" s="31">
        <v>6526342</v>
      </c>
      <c r="B683" s="32">
        <v>70000</v>
      </c>
      <c r="C683" s="33" t="s">
        <v>196</v>
      </c>
      <c r="D683" s="33" t="s">
        <v>161</v>
      </c>
      <c r="E683" s="33" t="s">
        <v>162</v>
      </c>
      <c r="F683" s="33" t="s">
        <v>167</v>
      </c>
    </row>
    <row r="684" spans="1:6" ht="15" thickBot="1">
      <c r="A684" s="31">
        <v>6553988</v>
      </c>
      <c r="B684" s="32">
        <v>50000</v>
      </c>
      <c r="C684" s="33" t="s">
        <v>180</v>
      </c>
      <c r="D684" s="33" t="s">
        <v>165</v>
      </c>
      <c r="E684" s="33" t="s">
        <v>166</v>
      </c>
      <c r="F684" s="33" t="s">
        <v>167</v>
      </c>
    </row>
    <row r="685" spans="1:6" ht="15" thickBot="1">
      <c r="A685" s="31">
        <v>6554117</v>
      </c>
      <c r="B685" s="32">
        <v>35000</v>
      </c>
      <c r="C685" s="33" t="s">
        <v>225</v>
      </c>
      <c r="D685" s="33" t="s">
        <v>165</v>
      </c>
      <c r="E685" s="33" t="s">
        <v>166</v>
      </c>
      <c r="F685" s="33" t="s">
        <v>167</v>
      </c>
    </row>
    <row r="686" spans="1:6" ht="29" thickBot="1">
      <c r="A686" s="31">
        <v>6567258</v>
      </c>
      <c r="B686" s="32">
        <v>33000000</v>
      </c>
      <c r="C686" s="33" t="s">
        <v>308</v>
      </c>
      <c r="D686" s="33" t="s">
        <v>174</v>
      </c>
      <c r="E686" s="33" t="s">
        <v>166</v>
      </c>
      <c r="F686" s="33" t="s">
        <v>163</v>
      </c>
    </row>
    <row r="687" spans="1:6" ht="15" thickBot="1">
      <c r="A687" s="31">
        <v>6570671</v>
      </c>
      <c r="B687" s="32">
        <v>75000000</v>
      </c>
      <c r="C687" s="33" t="s">
        <v>222</v>
      </c>
      <c r="D687" s="33" t="s">
        <v>174</v>
      </c>
      <c r="E687" s="33" t="s">
        <v>166</v>
      </c>
      <c r="F687" s="33" t="s">
        <v>163</v>
      </c>
    </row>
    <row r="688" spans="1:6" ht="15" thickBot="1">
      <c r="A688" s="31">
        <v>6575291</v>
      </c>
      <c r="B688" s="32">
        <v>55000000</v>
      </c>
      <c r="C688" s="33" t="s">
        <v>177</v>
      </c>
      <c r="D688" s="33" t="s">
        <v>174</v>
      </c>
      <c r="E688" s="33" t="s">
        <v>166</v>
      </c>
      <c r="F688" s="33" t="s">
        <v>163</v>
      </c>
    </row>
    <row r="689" spans="1:6" ht="15" thickBot="1">
      <c r="A689" s="31">
        <v>6582516</v>
      </c>
      <c r="B689" s="32">
        <v>14500000</v>
      </c>
      <c r="C689" s="33" t="s">
        <v>211</v>
      </c>
      <c r="D689" s="33" t="s">
        <v>161</v>
      </c>
      <c r="E689" s="33" t="s">
        <v>162</v>
      </c>
      <c r="F689" s="33" t="s">
        <v>163</v>
      </c>
    </row>
    <row r="690" spans="1:6" ht="29" thickBot="1">
      <c r="A690" s="31">
        <v>6583570</v>
      </c>
      <c r="B690" s="32">
        <v>97000000</v>
      </c>
      <c r="C690" s="33" t="s">
        <v>261</v>
      </c>
      <c r="D690" s="33" t="s">
        <v>161</v>
      </c>
      <c r="E690" s="33" t="s">
        <v>162</v>
      </c>
      <c r="F690" s="33" t="s">
        <v>163</v>
      </c>
    </row>
    <row r="691" spans="1:6" ht="15" thickBot="1">
      <c r="A691" s="31">
        <v>6592418</v>
      </c>
      <c r="B691" s="32">
        <v>222500000</v>
      </c>
      <c r="C691" s="33" t="s">
        <v>196</v>
      </c>
      <c r="D691" s="33" t="s">
        <v>161</v>
      </c>
      <c r="E691" s="33" t="s">
        <v>162</v>
      </c>
      <c r="F691" s="33" t="s">
        <v>163</v>
      </c>
    </row>
    <row r="692" spans="1:6" ht="15" thickBot="1">
      <c r="A692" s="31">
        <v>6594235</v>
      </c>
      <c r="B692" s="32">
        <v>15500000</v>
      </c>
      <c r="C692" s="33" t="s">
        <v>177</v>
      </c>
      <c r="D692" s="33" t="s">
        <v>169</v>
      </c>
      <c r="E692" s="34" t="s">
        <v>170</v>
      </c>
      <c r="F692" s="33" t="s">
        <v>163</v>
      </c>
    </row>
    <row r="693" spans="1:6" ht="15" thickBot="1">
      <c r="A693" s="31">
        <v>6594256</v>
      </c>
      <c r="B693" s="32">
        <v>33500000</v>
      </c>
      <c r="C693" s="33" t="s">
        <v>182</v>
      </c>
      <c r="D693" s="33" t="s">
        <v>174</v>
      </c>
      <c r="E693" s="33" t="s">
        <v>166</v>
      </c>
      <c r="F693" s="33" t="s">
        <v>163</v>
      </c>
    </row>
    <row r="694" spans="1:6" ht="15" thickBot="1">
      <c r="A694" s="31">
        <v>6598944</v>
      </c>
      <c r="B694" s="32">
        <v>32000000</v>
      </c>
      <c r="C694" s="33" t="s">
        <v>215</v>
      </c>
      <c r="D694" s="33" t="s">
        <v>169</v>
      </c>
      <c r="E694" s="34" t="s">
        <v>170</v>
      </c>
      <c r="F694" s="33" t="s">
        <v>163</v>
      </c>
    </row>
    <row r="695" spans="1:6" ht="15" thickBot="1">
      <c r="A695" s="31">
        <v>6599094</v>
      </c>
      <c r="B695" s="32">
        <v>50000000</v>
      </c>
      <c r="C695" s="33" t="s">
        <v>274</v>
      </c>
      <c r="D695" s="33" t="s">
        <v>169</v>
      </c>
      <c r="E695" s="34" t="s">
        <v>170</v>
      </c>
      <c r="F695" s="33" t="s">
        <v>163</v>
      </c>
    </row>
    <row r="696" spans="1:6" ht="15" thickBot="1">
      <c r="A696" s="31">
        <v>6601202</v>
      </c>
      <c r="B696" s="32">
        <v>15000000</v>
      </c>
      <c r="C696" s="33" t="s">
        <v>177</v>
      </c>
      <c r="D696" s="33" t="s">
        <v>169</v>
      </c>
      <c r="E696" s="34" t="s">
        <v>170</v>
      </c>
      <c r="F696" s="33" t="s">
        <v>163</v>
      </c>
    </row>
    <row r="697" spans="1:6" ht="15" thickBot="1">
      <c r="A697" s="31">
        <v>6605300</v>
      </c>
      <c r="B697" s="32">
        <v>25000000</v>
      </c>
      <c r="C697" s="33" t="s">
        <v>324</v>
      </c>
      <c r="D697" s="33" t="s">
        <v>165</v>
      </c>
      <c r="E697" s="33" t="s">
        <v>166</v>
      </c>
      <c r="F697" s="33" t="s">
        <v>163</v>
      </c>
    </row>
    <row r="698" spans="1:6" ht="15" thickBot="1">
      <c r="A698" s="31">
        <v>6632551</v>
      </c>
      <c r="B698" s="32">
        <v>21000000</v>
      </c>
      <c r="C698" s="33" t="s">
        <v>204</v>
      </c>
      <c r="D698" s="33" t="s">
        <v>169</v>
      </c>
      <c r="E698" s="34" t="s">
        <v>170</v>
      </c>
      <c r="F698" s="33" t="s">
        <v>163</v>
      </c>
    </row>
    <row r="699" spans="1:6" ht="15" thickBot="1">
      <c r="A699" s="31">
        <v>6633630</v>
      </c>
      <c r="B699" s="32">
        <v>80000000</v>
      </c>
      <c r="C699" s="33" t="s">
        <v>274</v>
      </c>
      <c r="D699" s="33" t="s">
        <v>169</v>
      </c>
      <c r="E699" s="34" t="s">
        <v>170</v>
      </c>
      <c r="F699" s="33" t="s">
        <v>163</v>
      </c>
    </row>
    <row r="700" spans="1:6" ht="15" thickBot="1">
      <c r="A700" s="31">
        <v>6635383</v>
      </c>
      <c r="B700" s="32">
        <v>200000000</v>
      </c>
      <c r="C700" s="33" t="s">
        <v>160</v>
      </c>
      <c r="D700" s="33" t="s">
        <v>174</v>
      </c>
      <c r="E700" s="33" t="s">
        <v>166</v>
      </c>
      <c r="F700" s="33" t="s">
        <v>163</v>
      </c>
    </row>
    <row r="701" spans="1:6" ht="15" thickBot="1">
      <c r="A701" s="31">
        <v>6635443</v>
      </c>
      <c r="B701" s="32">
        <v>65000000</v>
      </c>
      <c r="C701" s="33" t="s">
        <v>160</v>
      </c>
      <c r="D701" s="33" t="s">
        <v>174</v>
      </c>
      <c r="E701" s="33" t="s">
        <v>166</v>
      </c>
      <c r="F701" s="33" t="s">
        <v>163</v>
      </c>
    </row>
    <row r="702" spans="1:6" ht="15" thickBot="1">
      <c r="A702" s="31">
        <v>6636158</v>
      </c>
      <c r="B702" s="32">
        <v>10500000</v>
      </c>
      <c r="C702" s="33" t="s">
        <v>221</v>
      </c>
      <c r="D702" s="33" t="s">
        <v>169</v>
      </c>
      <c r="E702" s="34" t="s">
        <v>170</v>
      </c>
      <c r="F702" s="33" t="s">
        <v>163</v>
      </c>
    </row>
    <row r="703" spans="1:6" ht="15" thickBot="1">
      <c r="A703" s="31">
        <v>6636850</v>
      </c>
      <c r="B703" s="32">
        <v>12500000</v>
      </c>
      <c r="C703" s="33" t="s">
        <v>325</v>
      </c>
      <c r="D703" s="33" t="s">
        <v>169</v>
      </c>
      <c r="E703" s="34" t="s">
        <v>170</v>
      </c>
      <c r="F703" s="33" t="s">
        <v>163</v>
      </c>
    </row>
    <row r="704" spans="1:6" ht="15" thickBot="1">
      <c r="A704" s="31">
        <v>6639644</v>
      </c>
      <c r="B704" s="32">
        <v>100000000</v>
      </c>
      <c r="C704" s="33" t="s">
        <v>160</v>
      </c>
      <c r="D704" s="33" t="s">
        <v>161</v>
      </c>
      <c r="E704" s="33" t="s">
        <v>162</v>
      </c>
      <c r="F704" s="33" t="s">
        <v>163</v>
      </c>
    </row>
    <row r="705" spans="1:6" ht="15" thickBot="1">
      <c r="A705" s="31">
        <v>6641667</v>
      </c>
      <c r="B705" s="32">
        <v>300000</v>
      </c>
      <c r="C705" s="33" t="s">
        <v>172</v>
      </c>
      <c r="D705" s="33" t="s">
        <v>169</v>
      </c>
      <c r="E705" s="34" t="s">
        <v>170</v>
      </c>
      <c r="F705" s="33" t="s">
        <v>167</v>
      </c>
    </row>
    <row r="706" spans="1:6" ht="15" thickBot="1">
      <c r="A706" s="31">
        <v>6652396</v>
      </c>
      <c r="B706" s="32">
        <v>6550000</v>
      </c>
      <c r="C706" s="33" t="s">
        <v>181</v>
      </c>
      <c r="D706" s="33" t="s">
        <v>174</v>
      </c>
      <c r="E706" s="33" t="s">
        <v>166</v>
      </c>
      <c r="F706" s="33" t="s">
        <v>163</v>
      </c>
    </row>
    <row r="707" spans="1:6" ht="15" thickBot="1">
      <c r="A707" s="31">
        <v>6653620</v>
      </c>
      <c r="B707" s="32">
        <v>8000000</v>
      </c>
      <c r="C707" s="33" t="s">
        <v>272</v>
      </c>
      <c r="D707" s="33" t="s">
        <v>161</v>
      </c>
      <c r="E707" s="33" t="s">
        <v>162</v>
      </c>
      <c r="F707" s="33" t="s">
        <v>163</v>
      </c>
    </row>
    <row r="708" spans="1:6" ht="15" thickBot="1">
      <c r="A708" s="31">
        <v>6653703</v>
      </c>
      <c r="B708" s="32">
        <v>40000</v>
      </c>
      <c r="C708" s="33" t="s">
        <v>172</v>
      </c>
      <c r="D708" s="33" t="s">
        <v>169</v>
      </c>
      <c r="E708" s="34" t="s">
        <v>170</v>
      </c>
      <c r="F708" s="33" t="s">
        <v>167</v>
      </c>
    </row>
    <row r="709" spans="1:6" ht="15" thickBot="1">
      <c r="A709" s="31">
        <v>6658157</v>
      </c>
      <c r="B709" s="32">
        <v>4800000</v>
      </c>
      <c r="C709" s="33" t="s">
        <v>272</v>
      </c>
      <c r="D709" s="33" t="s">
        <v>161</v>
      </c>
      <c r="E709" s="33" t="s">
        <v>162</v>
      </c>
      <c r="F709" s="33" t="s">
        <v>163</v>
      </c>
    </row>
    <row r="710" spans="1:6" ht="15" thickBot="1">
      <c r="A710" s="31">
        <v>6659331</v>
      </c>
      <c r="B710" s="32">
        <v>51500000</v>
      </c>
      <c r="C710" s="33" t="s">
        <v>160</v>
      </c>
      <c r="D710" s="33" t="s">
        <v>174</v>
      </c>
      <c r="E710" s="33" t="s">
        <v>166</v>
      </c>
      <c r="F710" s="33" t="s">
        <v>163</v>
      </c>
    </row>
    <row r="711" spans="1:6" ht="15" thickBot="1">
      <c r="A711" s="31">
        <v>6662194</v>
      </c>
      <c r="B711" s="32">
        <v>38500000</v>
      </c>
      <c r="C711" s="33" t="s">
        <v>180</v>
      </c>
      <c r="D711" s="33" t="s">
        <v>165</v>
      </c>
      <c r="E711" s="33" t="s">
        <v>166</v>
      </c>
      <c r="F711" s="33" t="s">
        <v>163</v>
      </c>
    </row>
    <row r="712" spans="1:6" ht="15" thickBot="1">
      <c r="A712" s="31">
        <v>6664232</v>
      </c>
      <c r="B712" s="32">
        <v>36500000</v>
      </c>
      <c r="C712" s="33" t="s">
        <v>204</v>
      </c>
      <c r="D712" s="33" t="s">
        <v>169</v>
      </c>
      <c r="E712" s="34" t="s">
        <v>170</v>
      </c>
      <c r="F712" s="33" t="s">
        <v>163</v>
      </c>
    </row>
    <row r="713" spans="1:6" ht="15" thickBot="1">
      <c r="A713" s="31">
        <v>6664295</v>
      </c>
      <c r="B713" s="32">
        <v>21000000</v>
      </c>
      <c r="C713" s="33" t="s">
        <v>180</v>
      </c>
      <c r="D713" s="33" t="s">
        <v>165</v>
      </c>
      <c r="E713" s="33" t="s">
        <v>166</v>
      </c>
      <c r="F713" s="33" t="s">
        <v>163</v>
      </c>
    </row>
    <row r="714" spans="1:6" ht="15" thickBot="1">
      <c r="A714" s="31">
        <v>6664391</v>
      </c>
      <c r="B714" s="32">
        <v>23500000</v>
      </c>
      <c r="C714" s="33" t="s">
        <v>180</v>
      </c>
      <c r="D714" s="33" t="s">
        <v>165</v>
      </c>
      <c r="E714" s="33" t="s">
        <v>166</v>
      </c>
      <c r="F714" s="33" t="s">
        <v>163</v>
      </c>
    </row>
    <row r="715" spans="1:6" ht="15" thickBot="1">
      <c r="A715" s="31">
        <v>6664577</v>
      </c>
      <c r="B715" s="32">
        <v>42500000</v>
      </c>
      <c r="C715" s="33" t="s">
        <v>177</v>
      </c>
      <c r="D715" s="33" t="s">
        <v>174</v>
      </c>
      <c r="E715" s="33" t="s">
        <v>166</v>
      </c>
      <c r="F715" s="33" t="s">
        <v>163</v>
      </c>
    </row>
    <row r="716" spans="1:6" ht="15" thickBot="1">
      <c r="A716" s="31">
        <v>6667833</v>
      </c>
      <c r="B716" s="32">
        <v>39900000</v>
      </c>
      <c r="C716" s="33" t="s">
        <v>177</v>
      </c>
      <c r="D716" s="33" t="s">
        <v>174</v>
      </c>
      <c r="E716" s="33" t="s">
        <v>166</v>
      </c>
      <c r="F716" s="33" t="s">
        <v>163</v>
      </c>
    </row>
    <row r="717" spans="1:6" ht="15" thickBot="1">
      <c r="A717" s="31">
        <v>6670283</v>
      </c>
      <c r="B717" s="32">
        <v>16900000</v>
      </c>
      <c r="C717" s="33" t="s">
        <v>204</v>
      </c>
      <c r="D717" s="33" t="s">
        <v>174</v>
      </c>
      <c r="E717" s="33" t="s">
        <v>166</v>
      </c>
      <c r="F717" s="33" t="s">
        <v>163</v>
      </c>
    </row>
    <row r="718" spans="1:6" ht="15" thickBot="1">
      <c r="A718" s="31">
        <v>6697321</v>
      </c>
      <c r="B718" s="32">
        <v>7400000</v>
      </c>
      <c r="C718" s="33" t="s">
        <v>326</v>
      </c>
      <c r="D718" s="33" t="s">
        <v>165</v>
      </c>
      <c r="E718" s="33" t="s">
        <v>166</v>
      </c>
      <c r="F718" s="33" t="s">
        <v>163</v>
      </c>
    </row>
    <row r="719" spans="1:6" ht="15" thickBot="1">
      <c r="A719" s="31">
        <v>6697542</v>
      </c>
      <c r="B719" s="32">
        <v>6000000</v>
      </c>
      <c r="C719" s="33" t="s">
        <v>327</v>
      </c>
      <c r="D719" s="33" t="s">
        <v>174</v>
      </c>
      <c r="E719" s="33" t="s">
        <v>166</v>
      </c>
      <c r="F719" s="33" t="s">
        <v>163</v>
      </c>
    </row>
    <row r="720" spans="1:6" ht="15" thickBot="1">
      <c r="A720" s="31">
        <v>6697817</v>
      </c>
      <c r="B720" s="32">
        <v>7200000</v>
      </c>
      <c r="C720" s="33" t="s">
        <v>181</v>
      </c>
      <c r="D720" s="33" t="s">
        <v>174</v>
      </c>
      <c r="E720" s="33" t="s">
        <v>166</v>
      </c>
      <c r="F720" s="33" t="s">
        <v>163</v>
      </c>
    </row>
    <row r="721" spans="1:6" ht="15" thickBot="1">
      <c r="A721" s="31">
        <v>6711792</v>
      </c>
      <c r="B721" s="32">
        <v>3650000</v>
      </c>
      <c r="C721" s="33" t="s">
        <v>187</v>
      </c>
      <c r="D721" s="33" t="s">
        <v>161</v>
      </c>
      <c r="E721" s="33" t="s">
        <v>162</v>
      </c>
      <c r="F721" s="33" t="s">
        <v>163</v>
      </c>
    </row>
    <row r="722" spans="1:6" ht="15" thickBot="1">
      <c r="A722" s="31">
        <v>6712264</v>
      </c>
      <c r="B722" s="32">
        <v>16000000</v>
      </c>
      <c r="C722" s="33" t="s">
        <v>235</v>
      </c>
      <c r="D722" s="33" t="s">
        <v>161</v>
      </c>
      <c r="E722" s="33" t="s">
        <v>162</v>
      </c>
      <c r="F722" s="33" t="s">
        <v>163</v>
      </c>
    </row>
    <row r="723" spans="1:6" ht="15" thickBot="1">
      <c r="A723" s="31">
        <v>6723402</v>
      </c>
      <c r="B723" s="32">
        <v>14500000</v>
      </c>
      <c r="C723" s="33" t="s">
        <v>206</v>
      </c>
      <c r="D723" s="33" t="s">
        <v>174</v>
      </c>
      <c r="E723" s="33" t="s">
        <v>166</v>
      </c>
      <c r="F723" s="33" t="s">
        <v>163</v>
      </c>
    </row>
    <row r="724" spans="1:6" ht="15" thickBot="1">
      <c r="A724" s="31">
        <v>6734408</v>
      </c>
      <c r="B724" s="32">
        <v>11000000</v>
      </c>
      <c r="C724" s="33" t="s">
        <v>177</v>
      </c>
      <c r="D724" s="33" t="s">
        <v>161</v>
      </c>
      <c r="E724" s="33" t="s">
        <v>162</v>
      </c>
      <c r="F724" s="33" t="s">
        <v>163</v>
      </c>
    </row>
    <row r="725" spans="1:6" ht="15" thickBot="1">
      <c r="A725" s="31">
        <v>6746418</v>
      </c>
      <c r="B725" s="32">
        <v>11500000</v>
      </c>
      <c r="C725" s="33" t="s">
        <v>204</v>
      </c>
      <c r="D725" s="33" t="s">
        <v>174</v>
      </c>
      <c r="E725" s="33" t="s">
        <v>166</v>
      </c>
      <c r="F725" s="33" t="s">
        <v>163</v>
      </c>
    </row>
    <row r="726" spans="1:6" ht="15" thickBot="1">
      <c r="A726" s="31">
        <v>6747080</v>
      </c>
      <c r="B726" s="32">
        <v>100000</v>
      </c>
      <c r="C726" s="33" t="s">
        <v>177</v>
      </c>
      <c r="D726" s="33" t="s">
        <v>161</v>
      </c>
      <c r="E726" s="33" t="s">
        <v>162</v>
      </c>
      <c r="F726" s="33" t="s">
        <v>167</v>
      </c>
    </row>
    <row r="727" spans="1:6" ht="15" thickBot="1">
      <c r="A727" s="31">
        <v>6762145</v>
      </c>
      <c r="B727" s="32">
        <v>4050000</v>
      </c>
      <c r="C727" s="33" t="s">
        <v>196</v>
      </c>
      <c r="D727" s="33" t="s">
        <v>161</v>
      </c>
      <c r="E727" s="33" t="s">
        <v>162</v>
      </c>
      <c r="F727" s="33" t="s">
        <v>163</v>
      </c>
    </row>
    <row r="728" spans="1:6" ht="15" thickBot="1">
      <c r="A728" s="31">
        <v>6763837</v>
      </c>
      <c r="B728" s="32">
        <v>14500000</v>
      </c>
      <c r="C728" s="33" t="s">
        <v>272</v>
      </c>
      <c r="D728" s="33" t="s">
        <v>161</v>
      </c>
      <c r="E728" s="33" t="s">
        <v>162</v>
      </c>
      <c r="F728" s="33" t="s">
        <v>163</v>
      </c>
    </row>
    <row r="729" spans="1:6" ht="15" thickBot="1">
      <c r="A729" s="31">
        <v>6772376</v>
      </c>
      <c r="B729" s="32">
        <v>26000000</v>
      </c>
      <c r="C729" s="33" t="s">
        <v>177</v>
      </c>
      <c r="D729" s="33" t="s">
        <v>169</v>
      </c>
      <c r="E729" s="34" t="s">
        <v>170</v>
      </c>
      <c r="F729" s="33" t="s">
        <v>163</v>
      </c>
    </row>
    <row r="730" spans="1:6" ht="15" thickBot="1">
      <c r="A730" s="31">
        <v>6790300</v>
      </c>
      <c r="B730" s="32">
        <v>140000000</v>
      </c>
      <c r="C730" s="33" t="s">
        <v>177</v>
      </c>
      <c r="D730" s="33" t="s">
        <v>161</v>
      </c>
      <c r="E730" s="33" t="s">
        <v>162</v>
      </c>
      <c r="F730" s="33" t="s">
        <v>163</v>
      </c>
    </row>
    <row r="731" spans="1:6" ht="15" thickBot="1">
      <c r="A731" s="31">
        <v>6793489</v>
      </c>
      <c r="B731" s="32">
        <v>17600000</v>
      </c>
      <c r="C731" s="33" t="s">
        <v>204</v>
      </c>
      <c r="D731" s="33" t="s">
        <v>174</v>
      </c>
      <c r="E731" s="33" t="s">
        <v>166</v>
      </c>
      <c r="F731" s="33" t="s">
        <v>163</v>
      </c>
    </row>
    <row r="732" spans="1:6" ht="15" thickBot="1">
      <c r="A732" s="31">
        <v>6805431</v>
      </c>
      <c r="B732" s="32">
        <v>11000000</v>
      </c>
      <c r="C732" s="33" t="s">
        <v>328</v>
      </c>
      <c r="D732" s="33" t="s">
        <v>174</v>
      </c>
      <c r="E732" s="33" t="s">
        <v>166</v>
      </c>
      <c r="F732" s="33" t="s">
        <v>163</v>
      </c>
    </row>
    <row r="733" spans="1:6" ht="15" thickBot="1">
      <c r="A733" s="31">
        <v>6806027</v>
      </c>
      <c r="B733" s="32">
        <v>23500000</v>
      </c>
      <c r="C733" s="33" t="s">
        <v>204</v>
      </c>
      <c r="D733" s="33" t="s">
        <v>169</v>
      </c>
      <c r="E733" s="34" t="s">
        <v>170</v>
      </c>
      <c r="F733" s="33" t="s">
        <v>163</v>
      </c>
    </row>
    <row r="734" spans="1:6" ht="15" thickBot="1">
      <c r="A734" s="31">
        <v>6806059</v>
      </c>
      <c r="B734" s="32">
        <v>43000000</v>
      </c>
      <c r="C734" s="33" t="s">
        <v>204</v>
      </c>
      <c r="D734" s="33" t="s">
        <v>169</v>
      </c>
      <c r="E734" s="34" t="s">
        <v>170</v>
      </c>
      <c r="F734" s="33" t="s">
        <v>163</v>
      </c>
    </row>
    <row r="735" spans="1:6" ht="15" thickBot="1">
      <c r="A735" s="31">
        <v>6806105</v>
      </c>
      <c r="B735" s="32">
        <v>40000000</v>
      </c>
      <c r="C735" s="33" t="s">
        <v>180</v>
      </c>
      <c r="D735" s="33" t="s">
        <v>165</v>
      </c>
      <c r="E735" s="33" t="s">
        <v>166</v>
      </c>
      <c r="F735" s="33" t="s">
        <v>163</v>
      </c>
    </row>
    <row r="736" spans="1:6" ht="15" thickBot="1">
      <c r="A736" s="31">
        <v>6806137</v>
      </c>
      <c r="B736" s="32">
        <v>23000000</v>
      </c>
      <c r="C736" s="33" t="s">
        <v>204</v>
      </c>
      <c r="D736" s="33" t="s">
        <v>169</v>
      </c>
      <c r="E736" s="34" t="s">
        <v>170</v>
      </c>
      <c r="F736" s="33" t="s">
        <v>163</v>
      </c>
    </row>
    <row r="737" spans="1:6" ht="15" thickBot="1">
      <c r="A737" s="31">
        <v>6806157</v>
      </c>
      <c r="B737" s="32">
        <v>21000000</v>
      </c>
      <c r="C737" s="33" t="s">
        <v>180</v>
      </c>
      <c r="D737" s="33" t="s">
        <v>165</v>
      </c>
      <c r="E737" s="33" t="s">
        <v>166</v>
      </c>
      <c r="F737" s="33" t="s">
        <v>163</v>
      </c>
    </row>
    <row r="738" spans="1:6" ht="15" thickBot="1">
      <c r="A738" s="31">
        <v>6806519</v>
      </c>
      <c r="B738" s="32">
        <v>25000</v>
      </c>
      <c r="C738" s="33" t="s">
        <v>164</v>
      </c>
      <c r="D738" s="33" t="s">
        <v>165</v>
      </c>
      <c r="E738" s="33" t="s">
        <v>166</v>
      </c>
      <c r="F738" s="33" t="s">
        <v>167</v>
      </c>
    </row>
    <row r="739" spans="1:6" ht="15" thickBot="1">
      <c r="A739" s="31">
        <v>6808392</v>
      </c>
      <c r="B739" s="32">
        <v>54000</v>
      </c>
      <c r="C739" s="33" t="s">
        <v>205</v>
      </c>
      <c r="D739" s="33" t="s">
        <v>161</v>
      </c>
      <c r="E739" s="33" t="s">
        <v>162</v>
      </c>
      <c r="F739" s="33" t="s">
        <v>167</v>
      </c>
    </row>
    <row r="740" spans="1:6" ht="15" thickBot="1">
      <c r="A740" s="31">
        <v>6808423</v>
      </c>
      <c r="B740" s="32">
        <v>27500000</v>
      </c>
      <c r="C740" s="33" t="s">
        <v>221</v>
      </c>
      <c r="D740" s="33" t="s">
        <v>169</v>
      </c>
      <c r="E740" s="34" t="s">
        <v>170</v>
      </c>
      <c r="F740" s="33" t="s">
        <v>163</v>
      </c>
    </row>
    <row r="741" spans="1:6" ht="15" thickBot="1">
      <c r="A741" s="31">
        <v>6814964</v>
      </c>
      <c r="B741" s="32">
        <v>4700000</v>
      </c>
      <c r="C741" s="33" t="s">
        <v>205</v>
      </c>
      <c r="D741" s="33" t="s">
        <v>161</v>
      </c>
      <c r="E741" s="33" t="s">
        <v>162</v>
      </c>
      <c r="F741" s="33" t="s">
        <v>163</v>
      </c>
    </row>
    <row r="742" spans="1:6" ht="15" thickBot="1">
      <c r="A742" s="31">
        <v>6817115</v>
      </c>
      <c r="B742" s="32">
        <v>5000000</v>
      </c>
      <c r="C742" s="33" t="s">
        <v>329</v>
      </c>
      <c r="D742" s="33" t="s">
        <v>174</v>
      </c>
      <c r="E742" s="33" t="s">
        <v>166</v>
      </c>
      <c r="F742" s="33" t="s">
        <v>163</v>
      </c>
    </row>
    <row r="743" spans="1:6" ht="29" thickBot="1">
      <c r="A743" s="31">
        <v>6830200</v>
      </c>
      <c r="B743" s="32">
        <v>140000</v>
      </c>
      <c r="C743" s="33" t="s">
        <v>261</v>
      </c>
      <c r="D743" s="33" t="s">
        <v>161</v>
      </c>
      <c r="E743" s="33" t="s">
        <v>162</v>
      </c>
      <c r="F743" s="33" t="s">
        <v>167</v>
      </c>
    </row>
    <row r="744" spans="1:6" ht="29" thickBot="1">
      <c r="A744" s="31">
        <v>6834000</v>
      </c>
      <c r="B744" s="32">
        <v>4666000</v>
      </c>
      <c r="C744" s="33" t="s">
        <v>286</v>
      </c>
      <c r="D744" s="33" t="s">
        <v>161</v>
      </c>
      <c r="E744" s="33" t="s">
        <v>162</v>
      </c>
      <c r="F744" s="33" t="s">
        <v>163</v>
      </c>
    </row>
    <row r="745" spans="1:6" ht="29" thickBot="1">
      <c r="A745" s="31">
        <v>6834066</v>
      </c>
      <c r="B745" s="32">
        <v>7960000</v>
      </c>
      <c r="C745" s="33" t="s">
        <v>286</v>
      </c>
      <c r="D745" s="33" t="s">
        <v>161</v>
      </c>
      <c r="E745" s="33" t="s">
        <v>162</v>
      </c>
      <c r="F745" s="33" t="s">
        <v>163</v>
      </c>
    </row>
    <row r="746" spans="1:6" ht="29" thickBot="1">
      <c r="A746" s="31">
        <v>6834092</v>
      </c>
      <c r="B746" s="32">
        <v>10100000</v>
      </c>
      <c r="C746" s="33" t="s">
        <v>286</v>
      </c>
      <c r="D746" s="33" t="s">
        <v>161</v>
      </c>
      <c r="E746" s="33" t="s">
        <v>162</v>
      </c>
      <c r="F746" s="33" t="s">
        <v>163</v>
      </c>
    </row>
    <row r="747" spans="1:6" ht="15" thickBot="1">
      <c r="A747" s="31">
        <v>6834166</v>
      </c>
      <c r="B747" s="32">
        <v>6642000</v>
      </c>
      <c r="C747" s="33" t="s">
        <v>285</v>
      </c>
      <c r="D747" s="33" t="s">
        <v>161</v>
      </c>
      <c r="E747" s="33" t="s">
        <v>162</v>
      </c>
      <c r="F747" s="33" t="s">
        <v>163</v>
      </c>
    </row>
    <row r="748" spans="1:6" ht="15" thickBot="1">
      <c r="A748" s="31">
        <v>6839852</v>
      </c>
      <c r="B748" s="32">
        <v>12200000</v>
      </c>
      <c r="C748" s="33" t="s">
        <v>230</v>
      </c>
      <c r="D748" s="33" t="s">
        <v>161</v>
      </c>
      <c r="E748" s="33" t="s">
        <v>162</v>
      </c>
      <c r="F748" s="33" t="s">
        <v>163</v>
      </c>
    </row>
    <row r="749" spans="1:6" ht="15" thickBot="1">
      <c r="A749" s="31">
        <v>6843596</v>
      </c>
      <c r="B749" s="32">
        <v>23500000</v>
      </c>
      <c r="C749" s="33" t="s">
        <v>180</v>
      </c>
      <c r="D749" s="33" t="s">
        <v>165</v>
      </c>
      <c r="E749" s="33" t="s">
        <v>166</v>
      </c>
      <c r="F749" s="33" t="s">
        <v>163</v>
      </c>
    </row>
    <row r="750" spans="1:6" ht="15" thickBot="1">
      <c r="A750" s="31">
        <v>6843706</v>
      </c>
      <c r="B750" s="32">
        <v>23500000</v>
      </c>
      <c r="C750" s="33" t="s">
        <v>180</v>
      </c>
      <c r="D750" s="33" t="s">
        <v>165</v>
      </c>
      <c r="E750" s="33" t="s">
        <v>166</v>
      </c>
      <c r="F750" s="33" t="s">
        <v>163</v>
      </c>
    </row>
    <row r="751" spans="1:6" ht="15" thickBot="1">
      <c r="A751" s="31">
        <v>6848030</v>
      </c>
      <c r="B751" s="32">
        <v>15000000</v>
      </c>
      <c r="C751" s="33" t="s">
        <v>171</v>
      </c>
      <c r="D751" s="33" t="s">
        <v>161</v>
      </c>
      <c r="E751" s="33" t="s">
        <v>162</v>
      </c>
      <c r="F751" s="33" t="s">
        <v>163</v>
      </c>
    </row>
    <row r="752" spans="1:6" ht="15" thickBot="1">
      <c r="A752" s="31">
        <v>6856110</v>
      </c>
      <c r="B752" s="32">
        <v>4000000</v>
      </c>
      <c r="C752" s="33" t="s">
        <v>180</v>
      </c>
      <c r="D752" s="33" t="s">
        <v>165</v>
      </c>
      <c r="E752" s="33" t="s">
        <v>166</v>
      </c>
      <c r="F752" s="33" t="s">
        <v>163</v>
      </c>
    </row>
    <row r="753" spans="1:6" ht="15" thickBot="1">
      <c r="A753" s="31">
        <v>6858969</v>
      </c>
      <c r="B753" s="32">
        <v>155000000</v>
      </c>
      <c r="C753" s="33" t="s">
        <v>177</v>
      </c>
      <c r="D753" s="33" t="s">
        <v>161</v>
      </c>
      <c r="E753" s="33" t="s">
        <v>162</v>
      </c>
      <c r="F753" s="33" t="s">
        <v>163</v>
      </c>
    </row>
    <row r="754" spans="1:6" ht="15" thickBot="1">
      <c r="A754" s="31">
        <v>6858970</v>
      </c>
      <c r="B754" s="32">
        <v>135000000</v>
      </c>
      <c r="C754" s="33" t="s">
        <v>177</v>
      </c>
      <c r="D754" s="33" t="s">
        <v>161</v>
      </c>
      <c r="E754" s="33" t="s">
        <v>162</v>
      </c>
      <c r="F754" s="33" t="s">
        <v>163</v>
      </c>
    </row>
    <row r="755" spans="1:6" ht="15" thickBot="1">
      <c r="A755" s="31">
        <v>6861022</v>
      </c>
      <c r="B755" s="32">
        <v>35000000</v>
      </c>
      <c r="C755" s="33" t="s">
        <v>262</v>
      </c>
      <c r="D755" s="33" t="s">
        <v>169</v>
      </c>
      <c r="E755" s="34" t="s">
        <v>170</v>
      </c>
      <c r="F755" s="33" t="s">
        <v>163</v>
      </c>
    </row>
    <row r="756" spans="1:6" ht="15" thickBot="1">
      <c r="A756" s="31">
        <v>6861024</v>
      </c>
      <c r="B756" s="32">
        <v>95000000</v>
      </c>
      <c r="C756" s="33" t="s">
        <v>198</v>
      </c>
      <c r="D756" s="33" t="s">
        <v>169</v>
      </c>
      <c r="E756" s="34" t="s">
        <v>170</v>
      </c>
      <c r="F756" s="33" t="s">
        <v>163</v>
      </c>
    </row>
    <row r="757" spans="1:6" ht="29" thickBot="1">
      <c r="A757" s="31">
        <v>6862820</v>
      </c>
      <c r="B757" s="32">
        <v>26800000</v>
      </c>
      <c r="C757" s="33" t="s">
        <v>330</v>
      </c>
      <c r="D757" s="33" t="s">
        <v>174</v>
      </c>
      <c r="E757" s="33" t="s">
        <v>166</v>
      </c>
      <c r="F757" s="33" t="s">
        <v>163</v>
      </c>
    </row>
    <row r="758" spans="1:6" ht="15" thickBot="1">
      <c r="A758" s="31">
        <v>6865160</v>
      </c>
      <c r="B758" s="32">
        <v>40000000</v>
      </c>
      <c r="C758" s="33" t="s">
        <v>194</v>
      </c>
      <c r="D758" s="33" t="s">
        <v>174</v>
      </c>
      <c r="E758" s="33" t="s">
        <v>166</v>
      </c>
      <c r="F758" s="33" t="s">
        <v>163</v>
      </c>
    </row>
    <row r="759" spans="1:6" ht="29" thickBot="1">
      <c r="A759" s="31">
        <v>6865194</v>
      </c>
      <c r="B759" s="32">
        <v>47000000</v>
      </c>
      <c r="C759" s="33" t="s">
        <v>237</v>
      </c>
      <c r="D759" s="33" t="s">
        <v>174</v>
      </c>
      <c r="E759" s="33" t="s">
        <v>166</v>
      </c>
      <c r="F759" s="33" t="s">
        <v>163</v>
      </c>
    </row>
    <row r="760" spans="1:6" ht="15" thickBot="1">
      <c r="A760" s="31">
        <v>6885234</v>
      </c>
      <c r="B760" s="32">
        <v>25000</v>
      </c>
      <c r="C760" s="33" t="s">
        <v>331</v>
      </c>
      <c r="D760" s="33" t="s">
        <v>161</v>
      </c>
      <c r="E760" s="33" t="s">
        <v>162</v>
      </c>
      <c r="F760" s="33" t="s">
        <v>167</v>
      </c>
    </row>
    <row r="761" spans="1:6" ht="15" thickBot="1">
      <c r="A761" s="31">
        <v>6889735</v>
      </c>
      <c r="B761" s="32">
        <v>400000</v>
      </c>
      <c r="C761" s="33" t="s">
        <v>203</v>
      </c>
      <c r="D761" s="33" t="s">
        <v>169</v>
      </c>
      <c r="E761" s="34" t="s">
        <v>170</v>
      </c>
      <c r="F761" s="33" t="s">
        <v>167</v>
      </c>
    </row>
    <row r="762" spans="1:6" ht="15" thickBot="1">
      <c r="A762" s="31">
        <v>6891342</v>
      </c>
      <c r="B762" s="32">
        <v>46000000</v>
      </c>
      <c r="C762" s="33" t="s">
        <v>201</v>
      </c>
      <c r="D762" s="33" t="s">
        <v>169</v>
      </c>
      <c r="E762" s="34" t="s">
        <v>170</v>
      </c>
      <c r="F762" s="33" t="s">
        <v>163</v>
      </c>
    </row>
    <row r="763" spans="1:6" ht="15" thickBot="1">
      <c r="A763" s="31">
        <v>6893236</v>
      </c>
      <c r="B763" s="32">
        <v>3300000</v>
      </c>
      <c r="C763" s="33" t="s">
        <v>171</v>
      </c>
      <c r="D763" s="33" t="s">
        <v>161</v>
      </c>
      <c r="E763" s="33" t="s">
        <v>162</v>
      </c>
      <c r="F763" s="33" t="s">
        <v>163</v>
      </c>
    </row>
    <row r="764" spans="1:6" ht="29" thickBot="1">
      <c r="A764" s="31">
        <v>6893422</v>
      </c>
      <c r="B764" s="32">
        <v>4000000</v>
      </c>
      <c r="C764" s="33" t="s">
        <v>332</v>
      </c>
      <c r="D764" s="33" t="s">
        <v>174</v>
      </c>
      <c r="E764" s="33" t="s">
        <v>166</v>
      </c>
      <c r="F764" s="33" t="s">
        <v>163</v>
      </c>
    </row>
    <row r="765" spans="1:6" ht="15" thickBot="1">
      <c r="A765" s="31">
        <v>6898992</v>
      </c>
      <c r="B765" s="32">
        <v>3700000</v>
      </c>
      <c r="C765" s="33" t="s">
        <v>171</v>
      </c>
      <c r="D765" s="33" t="s">
        <v>161</v>
      </c>
      <c r="E765" s="33" t="s">
        <v>162</v>
      </c>
      <c r="F765" s="33" t="s">
        <v>163</v>
      </c>
    </row>
    <row r="766" spans="1:6" ht="15" thickBot="1">
      <c r="A766" s="31">
        <v>6899473</v>
      </c>
      <c r="B766" s="32">
        <v>6000000</v>
      </c>
      <c r="C766" s="33" t="s">
        <v>171</v>
      </c>
      <c r="D766" s="33" t="s">
        <v>161</v>
      </c>
      <c r="E766" s="33" t="s">
        <v>162</v>
      </c>
      <c r="F766" s="33" t="s">
        <v>163</v>
      </c>
    </row>
    <row r="767" spans="1:6" ht="15" thickBot="1">
      <c r="A767" s="31">
        <v>6899604</v>
      </c>
      <c r="B767" s="32">
        <v>16000000</v>
      </c>
      <c r="C767" s="33" t="s">
        <v>171</v>
      </c>
      <c r="D767" s="33" t="s">
        <v>161</v>
      </c>
      <c r="E767" s="33" t="s">
        <v>162</v>
      </c>
      <c r="F767" s="33" t="s">
        <v>163</v>
      </c>
    </row>
    <row r="768" spans="1:6" ht="15" thickBot="1">
      <c r="A768" s="31">
        <v>6901665</v>
      </c>
      <c r="B768" s="32">
        <v>2600000</v>
      </c>
      <c r="C768" s="33" t="s">
        <v>171</v>
      </c>
      <c r="D768" s="33" t="s">
        <v>161</v>
      </c>
      <c r="E768" s="33" t="s">
        <v>162</v>
      </c>
      <c r="F768" s="33" t="s">
        <v>163</v>
      </c>
    </row>
    <row r="769" spans="1:6" ht="15" thickBot="1">
      <c r="A769" s="31">
        <v>6901740</v>
      </c>
      <c r="B769" s="32">
        <v>14500000</v>
      </c>
      <c r="C769" s="33" t="s">
        <v>171</v>
      </c>
      <c r="D769" s="33" t="s">
        <v>161</v>
      </c>
      <c r="E769" s="33" t="s">
        <v>162</v>
      </c>
      <c r="F769" s="33" t="s">
        <v>163</v>
      </c>
    </row>
    <row r="770" spans="1:6" ht="15" thickBot="1">
      <c r="A770" s="31">
        <v>6903186</v>
      </c>
      <c r="B770" s="32">
        <v>3200000</v>
      </c>
      <c r="C770" s="33" t="s">
        <v>181</v>
      </c>
      <c r="D770" s="33" t="s">
        <v>174</v>
      </c>
      <c r="E770" s="33" t="s">
        <v>166</v>
      </c>
      <c r="F770" s="33" t="s">
        <v>163</v>
      </c>
    </row>
    <row r="771" spans="1:6" ht="15" thickBot="1">
      <c r="A771" s="31">
        <v>6906484</v>
      </c>
      <c r="B771" s="32">
        <v>32900000</v>
      </c>
      <c r="C771" s="33" t="s">
        <v>177</v>
      </c>
      <c r="D771" s="33" t="s">
        <v>174</v>
      </c>
      <c r="E771" s="33" t="s">
        <v>166</v>
      </c>
      <c r="F771" s="33" t="s">
        <v>163</v>
      </c>
    </row>
    <row r="772" spans="1:6" ht="15" thickBot="1">
      <c r="A772" s="31">
        <v>6907857</v>
      </c>
      <c r="B772" s="32">
        <v>47000000</v>
      </c>
      <c r="C772" s="33" t="s">
        <v>177</v>
      </c>
      <c r="D772" s="33" t="s">
        <v>174</v>
      </c>
      <c r="E772" s="33" t="s">
        <v>166</v>
      </c>
      <c r="F772" s="33" t="s">
        <v>163</v>
      </c>
    </row>
    <row r="773" spans="1:6" ht="15" thickBot="1">
      <c r="A773" s="31">
        <v>6908099</v>
      </c>
      <c r="B773" s="32">
        <v>6000000</v>
      </c>
      <c r="C773" s="33" t="s">
        <v>196</v>
      </c>
      <c r="D773" s="33" t="s">
        <v>161</v>
      </c>
      <c r="E773" s="33" t="s">
        <v>162</v>
      </c>
      <c r="F773" s="33" t="s">
        <v>163</v>
      </c>
    </row>
    <row r="774" spans="1:6" ht="15" thickBot="1">
      <c r="A774" s="31">
        <v>6910210</v>
      </c>
      <c r="B774" s="32">
        <v>6500000</v>
      </c>
      <c r="C774" s="33" t="s">
        <v>333</v>
      </c>
      <c r="D774" s="33" t="s">
        <v>161</v>
      </c>
      <c r="E774" s="33" t="s">
        <v>162</v>
      </c>
      <c r="F774" s="33" t="s">
        <v>163</v>
      </c>
    </row>
    <row r="775" spans="1:6" ht="15" thickBot="1">
      <c r="A775" s="31">
        <v>6915339</v>
      </c>
      <c r="B775" s="32">
        <v>85000</v>
      </c>
      <c r="C775" s="33" t="s">
        <v>262</v>
      </c>
      <c r="D775" s="33" t="s">
        <v>169</v>
      </c>
      <c r="E775" s="34" t="s">
        <v>170</v>
      </c>
      <c r="F775" s="33" t="s">
        <v>167</v>
      </c>
    </row>
    <row r="776" spans="1:6" ht="15" thickBot="1">
      <c r="A776" s="31">
        <v>6918843</v>
      </c>
      <c r="B776" s="32">
        <v>37000000</v>
      </c>
      <c r="C776" s="33" t="s">
        <v>177</v>
      </c>
      <c r="D776" s="33" t="s">
        <v>174</v>
      </c>
      <c r="E776" s="33" t="s">
        <v>166</v>
      </c>
      <c r="F776" s="33" t="s">
        <v>163</v>
      </c>
    </row>
    <row r="777" spans="1:6" ht="29" thickBot="1">
      <c r="A777" s="31">
        <v>6920206</v>
      </c>
      <c r="B777" s="32">
        <v>140000</v>
      </c>
      <c r="C777" s="33" t="s">
        <v>261</v>
      </c>
      <c r="D777" s="33" t="s">
        <v>161</v>
      </c>
      <c r="E777" s="33" t="s">
        <v>162</v>
      </c>
      <c r="F777" s="33" t="s">
        <v>167</v>
      </c>
    </row>
    <row r="778" spans="1:6" ht="15" thickBot="1">
      <c r="A778" s="31">
        <v>6921557</v>
      </c>
      <c r="B778" s="32">
        <v>50000000</v>
      </c>
      <c r="C778" s="33" t="s">
        <v>334</v>
      </c>
      <c r="D778" s="33" t="s">
        <v>161</v>
      </c>
      <c r="E778" s="33" t="s">
        <v>162</v>
      </c>
      <c r="F778" s="33" t="s">
        <v>163</v>
      </c>
    </row>
    <row r="779" spans="1:6" ht="29" thickBot="1">
      <c r="A779" s="31">
        <v>6924089</v>
      </c>
      <c r="B779" s="32">
        <v>32500000</v>
      </c>
      <c r="C779" s="33" t="s">
        <v>308</v>
      </c>
      <c r="D779" s="33" t="s">
        <v>174</v>
      </c>
      <c r="E779" s="33" t="s">
        <v>166</v>
      </c>
      <c r="F779" s="33" t="s">
        <v>163</v>
      </c>
    </row>
    <row r="780" spans="1:6" ht="15" thickBot="1">
      <c r="A780" s="31">
        <v>6938739</v>
      </c>
      <c r="B780" s="32">
        <v>37500000</v>
      </c>
      <c r="C780" s="33" t="s">
        <v>177</v>
      </c>
      <c r="D780" s="33" t="s">
        <v>174</v>
      </c>
      <c r="E780" s="33" t="s">
        <v>166</v>
      </c>
      <c r="F780" s="33" t="s">
        <v>163</v>
      </c>
    </row>
    <row r="781" spans="1:6" ht="15" thickBot="1">
      <c r="A781" s="31">
        <v>6940255</v>
      </c>
      <c r="B781" s="32">
        <v>100000</v>
      </c>
      <c r="C781" s="33" t="s">
        <v>180</v>
      </c>
      <c r="D781" s="33" t="s">
        <v>165</v>
      </c>
      <c r="E781" s="33" t="s">
        <v>166</v>
      </c>
      <c r="F781" s="33" t="s">
        <v>167</v>
      </c>
    </row>
    <row r="782" spans="1:6" ht="29" thickBot="1">
      <c r="A782" s="31">
        <v>6946550</v>
      </c>
      <c r="B782" s="32">
        <v>8200000</v>
      </c>
      <c r="C782" s="33" t="s">
        <v>192</v>
      </c>
      <c r="D782" s="33" t="s">
        <v>174</v>
      </c>
      <c r="E782" s="33" t="s">
        <v>166</v>
      </c>
      <c r="F782" s="33" t="s">
        <v>163</v>
      </c>
    </row>
    <row r="783" spans="1:6" ht="15" thickBot="1">
      <c r="A783" s="31">
        <v>6956601</v>
      </c>
      <c r="B783" s="32">
        <v>21000000</v>
      </c>
      <c r="C783" s="33" t="s">
        <v>225</v>
      </c>
      <c r="D783" s="33" t="s">
        <v>165</v>
      </c>
      <c r="E783" s="33" t="s">
        <v>166</v>
      </c>
      <c r="F783" s="33" t="s">
        <v>163</v>
      </c>
    </row>
    <row r="784" spans="1:6" ht="15" thickBot="1">
      <c r="A784" s="31">
        <v>6964171</v>
      </c>
      <c r="B784" s="32">
        <v>5000000</v>
      </c>
      <c r="C784" s="33" t="s">
        <v>335</v>
      </c>
      <c r="D784" s="33" t="s">
        <v>165</v>
      </c>
      <c r="E784" s="33" t="s">
        <v>166</v>
      </c>
      <c r="F784" s="33" t="s">
        <v>163</v>
      </c>
    </row>
    <row r="785" spans="1:6" ht="15" thickBot="1">
      <c r="A785" s="31">
        <v>6964889</v>
      </c>
      <c r="B785" s="32">
        <v>70000000</v>
      </c>
      <c r="C785" s="33" t="s">
        <v>177</v>
      </c>
      <c r="D785" s="33" t="s">
        <v>174</v>
      </c>
      <c r="E785" s="33" t="s">
        <v>166</v>
      </c>
      <c r="F785" s="33" t="s">
        <v>163</v>
      </c>
    </row>
    <row r="786" spans="1:6" ht="15" thickBot="1">
      <c r="A786" s="31">
        <v>6973467</v>
      </c>
      <c r="B786" s="32">
        <v>72500000</v>
      </c>
      <c r="C786" s="33" t="s">
        <v>204</v>
      </c>
      <c r="D786" s="33" t="s">
        <v>169</v>
      </c>
      <c r="E786" s="34" t="s">
        <v>170</v>
      </c>
      <c r="F786" s="33" t="s">
        <v>163</v>
      </c>
    </row>
    <row r="787" spans="1:6" ht="15" thickBot="1">
      <c r="A787" s="31">
        <v>6974465</v>
      </c>
      <c r="B787" s="32">
        <v>4500000</v>
      </c>
      <c r="C787" s="33" t="s">
        <v>172</v>
      </c>
      <c r="D787" s="33" t="s">
        <v>169</v>
      </c>
      <c r="E787" s="34" t="s">
        <v>170</v>
      </c>
      <c r="F787" s="33" t="s">
        <v>163</v>
      </c>
    </row>
    <row r="788" spans="1:6" ht="29" thickBot="1">
      <c r="A788" s="31">
        <v>6975105</v>
      </c>
      <c r="B788" s="32">
        <v>92500000</v>
      </c>
      <c r="C788" s="33" t="s">
        <v>261</v>
      </c>
      <c r="D788" s="33" t="s">
        <v>161</v>
      </c>
      <c r="E788" s="33" t="s">
        <v>162</v>
      </c>
      <c r="F788" s="33" t="s">
        <v>163</v>
      </c>
    </row>
    <row r="789" spans="1:6" ht="29" thickBot="1">
      <c r="A789" s="31">
        <v>6975141</v>
      </c>
      <c r="B789" s="32">
        <v>135000</v>
      </c>
      <c r="C789" s="33" t="s">
        <v>261</v>
      </c>
      <c r="D789" s="33" t="s">
        <v>161</v>
      </c>
      <c r="E789" s="33" t="s">
        <v>162</v>
      </c>
      <c r="F789" s="33" t="s">
        <v>167</v>
      </c>
    </row>
    <row r="790" spans="1:6" ht="15" thickBot="1">
      <c r="A790" s="31">
        <v>6975781</v>
      </c>
      <c r="B790" s="32">
        <v>3900000</v>
      </c>
      <c r="C790" s="33" t="s">
        <v>336</v>
      </c>
      <c r="D790" s="33" t="s">
        <v>161</v>
      </c>
      <c r="E790" s="33" t="s">
        <v>162</v>
      </c>
      <c r="F790" s="33" t="s">
        <v>163</v>
      </c>
    </row>
    <row r="791" spans="1:6" ht="15" thickBot="1">
      <c r="A791" s="31">
        <v>6977907</v>
      </c>
      <c r="B791" s="32">
        <v>15000000</v>
      </c>
      <c r="C791" s="33" t="s">
        <v>180</v>
      </c>
      <c r="D791" s="33" t="s">
        <v>165</v>
      </c>
      <c r="E791" s="33" t="s">
        <v>166</v>
      </c>
      <c r="F791" s="33" t="s">
        <v>163</v>
      </c>
    </row>
    <row r="792" spans="1:6" ht="15" thickBot="1">
      <c r="A792" s="31">
        <v>6978632</v>
      </c>
      <c r="B792" s="32">
        <v>175000</v>
      </c>
      <c r="C792" s="33" t="s">
        <v>177</v>
      </c>
      <c r="D792" s="33" t="s">
        <v>161</v>
      </c>
      <c r="E792" s="33" t="s">
        <v>162</v>
      </c>
      <c r="F792" s="33" t="s">
        <v>167</v>
      </c>
    </row>
    <row r="793" spans="1:6" ht="15" thickBot="1">
      <c r="A793" s="31">
        <v>6979267</v>
      </c>
      <c r="B793" s="32">
        <v>17500000</v>
      </c>
      <c r="C793" s="33" t="s">
        <v>204</v>
      </c>
      <c r="D793" s="33" t="s">
        <v>174</v>
      </c>
      <c r="E793" s="33" t="s">
        <v>166</v>
      </c>
      <c r="F793" s="33" t="s">
        <v>163</v>
      </c>
    </row>
    <row r="794" spans="1:6" ht="15" thickBot="1">
      <c r="A794" s="31">
        <v>6982618</v>
      </c>
      <c r="B794" s="32">
        <v>62500000</v>
      </c>
      <c r="C794" s="33" t="s">
        <v>177</v>
      </c>
      <c r="D794" s="33" t="s">
        <v>174</v>
      </c>
      <c r="E794" s="33" t="s">
        <v>166</v>
      </c>
      <c r="F794" s="33" t="s">
        <v>163</v>
      </c>
    </row>
    <row r="795" spans="1:6" ht="15" thickBot="1">
      <c r="A795" s="31">
        <v>6984508</v>
      </c>
      <c r="B795" s="32">
        <v>21000000</v>
      </c>
      <c r="C795" s="33" t="s">
        <v>180</v>
      </c>
      <c r="D795" s="33" t="s">
        <v>165</v>
      </c>
      <c r="E795" s="33" t="s">
        <v>166</v>
      </c>
      <c r="F795" s="33" t="s">
        <v>163</v>
      </c>
    </row>
    <row r="796" spans="1:6" ht="15" thickBot="1">
      <c r="A796" s="31">
        <v>6984986</v>
      </c>
      <c r="B796" s="32">
        <v>21000000</v>
      </c>
      <c r="C796" s="33" t="s">
        <v>211</v>
      </c>
      <c r="D796" s="33" t="s">
        <v>161</v>
      </c>
      <c r="E796" s="33" t="s">
        <v>162</v>
      </c>
      <c r="F796" s="33" t="s">
        <v>163</v>
      </c>
    </row>
    <row r="797" spans="1:6" ht="29" thickBot="1">
      <c r="A797" s="31">
        <v>6988422</v>
      </c>
      <c r="B797" s="32">
        <v>16000000</v>
      </c>
      <c r="C797" s="33" t="s">
        <v>337</v>
      </c>
      <c r="D797" s="33" t="s">
        <v>174</v>
      </c>
      <c r="E797" s="33" t="s">
        <v>166</v>
      </c>
      <c r="F797" s="33" t="s">
        <v>163</v>
      </c>
    </row>
    <row r="798" spans="1:6" ht="15" thickBot="1">
      <c r="A798" s="31">
        <v>6991508</v>
      </c>
      <c r="B798" s="32">
        <v>44000000</v>
      </c>
      <c r="C798" s="33" t="s">
        <v>177</v>
      </c>
      <c r="D798" s="33" t="s">
        <v>174</v>
      </c>
      <c r="E798" s="33" t="s">
        <v>166</v>
      </c>
      <c r="F798" s="33" t="s">
        <v>163</v>
      </c>
    </row>
    <row r="799" spans="1:6" ht="15" thickBot="1">
      <c r="A799" s="31">
        <v>6991779</v>
      </c>
      <c r="B799" s="32">
        <v>45000000</v>
      </c>
      <c r="C799" s="33" t="s">
        <v>177</v>
      </c>
      <c r="D799" s="33" t="s">
        <v>174</v>
      </c>
      <c r="E799" s="33" t="s">
        <v>166</v>
      </c>
      <c r="F799" s="33" t="s">
        <v>163</v>
      </c>
    </row>
    <row r="800" spans="1:6" ht="15" thickBot="1">
      <c r="A800" s="31">
        <v>7002797</v>
      </c>
      <c r="B800" s="32">
        <v>320000000</v>
      </c>
      <c r="C800" s="33" t="s">
        <v>274</v>
      </c>
      <c r="D800" s="33" t="s">
        <v>169</v>
      </c>
      <c r="E800" s="34" t="s">
        <v>170</v>
      </c>
      <c r="F800" s="33" t="s">
        <v>163</v>
      </c>
    </row>
    <row r="801" spans="1:6" ht="15" thickBot="1">
      <c r="A801" s="31">
        <v>7007058</v>
      </c>
      <c r="B801" s="32">
        <v>8500000</v>
      </c>
      <c r="C801" s="33" t="s">
        <v>279</v>
      </c>
      <c r="D801" s="33" t="s">
        <v>161</v>
      </c>
      <c r="E801" s="33" t="s">
        <v>162</v>
      </c>
      <c r="F801" s="33" t="s">
        <v>163</v>
      </c>
    </row>
    <row r="802" spans="1:6" ht="15" thickBot="1">
      <c r="A802" s="31">
        <v>7007075</v>
      </c>
      <c r="B802" s="32">
        <v>5500000</v>
      </c>
      <c r="C802" s="33" t="s">
        <v>180</v>
      </c>
      <c r="D802" s="33" t="s">
        <v>165</v>
      </c>
      <c r="E802" s="33" t="s">
        <v>166</v>
      </c>
      <c r="F802" s="33" t="s">
        <v>163</v>
      </c>
    </row>
    <row r="803" spans="1:6" ht="15" thickBot="1">
      <c r="A803" s="31">
        <v>7009953</v>
      </c>
      <c r="B803" s="32">
        <v>55000000</v>
      </c>
      <c r="C803" s="33" t="s">
        <v>274</v>
      </c>
      <c r="D803" s="33" t="s">
        <v>169</v>
      </c>
      <c r="E803" s="34" t="s">
        <v>170</v>
      </c>
      <c r="F803" s="33" t="s">
        <v>163</v>
      </c>
    </row>
    <row r="804" spans="1:6" ht="15" thickBot="1">
      <c r="A804" s="31">
        <v>7013873</v>
      </c>
      <c r="B804" s="32">
        <v>41000000</v>
      </c>
      <c r="C804" s="33" t="s">
        <v>221</v>
      </c>
      <c r="D804" s="33" t="s">
        <v>169</v>
      </c>
      <c r="E804" s="34" t="s">
        <v>170</v>
      </c>
      <c r="F804" s="33" t="s">
        <v>163</v>
      </c>
    </row>
    <row r="805" spans="1:6" ht="15" thickBot="1">
      <c r="A805" s="31">
        <v>7014549</v>
      </c>
      <c r="B805" s="32">
        <v>41000000</v>
      </c>
      <c r="C805" s="33" t="s">
        <v>177</v>
      </c>
      <c r="D805" s="33" t="s">
        <v>174</v>
      </c>
      <c r="E805" s="33" t="s">
        <v>166</v>
      </c>
      <c r="F805" s="33" t="s">
        <v>163</v>
      </c>
    </row>
    <row r="806" spans="1:6" ht="15" thickBot="1">
      <c r="A806" s="31">
        <v>7022130</v>
      </c>
      <c r="B806" s="32">
        <v>12900000</v>
      </c>
      <c r="C806" s="33" t="s">
        <v>177</v>
      </c>
      <c r="D806" s="33" t="s">
        <v>161</v>
      </c>
      <c r="E806" s="33" t="s">
        <v>162</v>
      </c>
      <c r="F806" s="33" t="s">
        <v>163</v>
      </c>
    </row>
    <row r="807" spans="1:6" ht="15" thickBot="1">
      <c r="A807" s="31">
        <v>7023496</v>
      </c>
      <c r="B807" s="32">
        <v>6200000</v>
      </c>
      <c r="C807" s="33" t="s">
        <v>171</v>
      </c>
      <c r="D807" s="33" t="s">
        <v>161</v>
      </c>
      <c r="E807" s="33" t="s">
        <v>162</v>
      </c>
      <c r="F807" s="33" t="s">
        <v>163</v>
      </c>
    </row>
    <row r="808" spans="1:6" ht="15" thickBot="1">
      <c r="A808" s="31">
        <v>7024899</v>
      </c>
      <c r="B808" s="32">
        <v>26000000</v>
      </c>
      <c r="C808" s="33" t="s">
        <v>206</v>
      </c>
      <c r="D808" s="33" t="s">
        <v>174</v>
      </c>
      <c r="E808" s="33" t="s">
        <v>166</v>
      </c>
      <c r="F808" s="33" t="s">
        <v>163</v>
      </c>
    </row>
    <row r="809" spans="1:6" ht="15" thickBot="1">
      <c r="A809" s="31">
        <v>7026694</v>
      </c>
      <c r="B809" s="32">
        <v>24000000</v>
      </c>
      <c r="C809" s="33" t="s">
        <v>205</v>
      </c>
      <c r="D809" s="33" t="s">
        <v>161</v>
      </c>
      <c r="E809" s="33" t="s">
        <v>162</v>
      </c>
      <c r="F809" s="33" t="s">
        <v>163</v>
      </c>
    </row>
    <row r="810" spans="1:6" ht="15" thickBot="1">
      <c r="A810" s="31">
        <v>7026866</v>
      </c>
      <c r="B810" s="32">
        <v>52500000</v>
      </c>
      <c r="C810" s="33" t="s">
        <v>177</v>
      </c>
      <c r="D810" s="33" t="s">
        <v>174</v>
      </c>
      <c r="E810" s="33" t="s">
        <v>166</v>
      </c>
      <c r="F810" s="33" t="s">
        <v>163</v>
      </c>
    </row>
    <row r="811" spans="1:6" ht="15" thickBot="1">
      <c r="A811" s="31">
        <v>7028238</v>
      </c>
      <c r="B811" s="32">
        <v>160000</v>
      </c>
      <c r="C811" s="33" t="s">
        <v>274</v>
      </c>
      <c r="D811" s="33" t="s">
        <v>169</v>
      </c>
      <c r="E811" s="34" t="s">
        <v>170</v>
      </c>
      <c r="F811" s="33" t="s">
        <v>167</v>
      </c>
    </row>
    <row r="812" spans="1:6" ht="15" thickBot="1">
      <c r="A812" s="31">
        <v>7028316</v>
      </c>
      <c r="B812" s="32">
        <v>350000</v>
      </c>
      <c r="C812" s="33" t="s">
        <v>274</v>
      </c>
      <c r="D812" s="33" t="s">
        <v>169</v>
      </c>
      <c r="E812" s="34" t="s">
        <v>170</v>
      </c>
      <c r="F812" s="33" t="s">
        <v>167</v>
      </c>
    </row>
    <row r="813" spans="1:6" ht="29" thickBot="1">
      <c r="A813" s="31">
        <v>7028591</v>
      </c>
      <c r="B813" s="32">
        <v>26500000</v>
      </c>
      <c r="C813" s="33" t="s">
        <v>330</v>
      </c>
      <c r="D813" s="33" t="s">
        <v>174</v>
      </c>
      <c r="E813" s="33" t="s">
        <v>166</v>
      </c>
      <c r="F813" s="33" t="s">
        <v>163</v>
      </c>
    </row>
    <row r="814" spans="1:6" ht="15" thickBot="1">
      <c r="A814" s="31">
        <v>7029068</v>
      </c>
      <c r="B814" s="32">
        <v>46000000</v>
      </c>
      <c r="C814" s="33" t="s">
        <v>222</v>
      </c>
      <c r="D814" s="33" t="s">
        <v>174</v>
      </c>
      <c r="E814" s="33" t="s">
        <v>166</v>
      </c>
      <c r="F814" s="33" t="s">
        <v>163</v>
      </c>
    </row>
    <row r="815" spans="1:6" ht="15" thickBot="1">
      <c r="A815" s="31">
        <v>7029240</v>
      </c>
      <c r="B815" s="32">
        <v>43000000</v>
      </c>
      <c r="C815" s="33" t="s">
        <v>201</v>
      </c>
      <c r="D815" s="33" t="s">
        <v>169</v>
      </c>
      <c r="E815" s="34" t="s">
        <v>170</v>
      </c>
      <c r="F815" s="33" t="s">
        <v>163</v>
      </c>
    </row>
    <row r="816" spans="1:6" ht="15" thickBot="1">
      <c r="A816" s="31">
        <v>7029450</v>
      </c>
      <c r="B816" s="32">
        <v>225000</v>
      </c>
      <c r="C816" s="33" t="s">
        <v>274</v>
      </c>
      <c r="D816" s="33" t="s">
        <v>169</v>
      </c>
      <c r="E816" s="34" t="s">
        <v>170</v>
      </c>
      <c r="F816" s="33" t="s">
        <v>167</v>
      </c>
    </row>
    <row r="817" spans="1:6" ht="15" thickBot="1">
      <c r="A817" s="31">
        <v>7029493</v>
      </c>
      <c r="B817" s="32">
        <v>52500000</v>
      </c>
      <c r="C817" s="33" t="s">
        <v>274</v>
      </c>
      <c r="D817" s="33" t="s">
        <v>169</v>
      </c>
      <c r="E817" s="34" t="s">
        <v>170</v>
      </c>
      <c r="F817" s="33" t="s">
        <v>163</v>
      </c>
    </row>
    <row r="818" spans="1:6" ht="29" thickBot="1">
      <c r="A818" s="31">
        <v>7039868</v>
      </c>
      <c r="B818" s="32">
        <v>6642000</v>
      </c>
      <c r="C818" s="33" t="s">
        <v>286</v>
      </c>
      <c r="D818" s="33" t="s">
        <v>161</v>
      </c>
      <c r="E818" s="33" t="s">
        <v>162</v>
      </c>
      <c r="F818" s="33" t="s">
        <v>163</v>
      </c>
    </row>
    <row r="819" spans="1:6" ht="15" thickBot="1">
      <c r="A819" s="31">
        <v>7040338</v>
      </c>
      <c r="B819" s="32">
        <v>45000</v>
      </c>
      <c r="C819" s="33" t="s">
        <v>180</v>
      </c>
      <c r="D819" s="33" t="s">
        <v>165</v>
      </c>
      <c r="E819" s="33" t="s">
        <v>166</v>
      </c>
      <c r="F819" s="33" t="s">
        <v>167</v>
      </c>
    </row>
    <row r="820" spans="1:6" ht="15" thickBot="1">
      <c r="A820" s="31">
        <v>7045632</v>
      </c>
      <c r="B820" s="32">
        <v>14500000</v>
      </c>
      <c r="C820" s="33" t="s">
        <v>206</v>
      </c>
      <c r="D820" s="33" t="s">
        <v>174</v>
      </c>
      <c r="E820" s="33" t="s">
        <v>166</v>
      </c>
      <c r="F820" s="33" t="s">
        <v>163</v>
      </c>
    </row>
    <row r="821" spans="1:6" ht="15" thickBot="1">
      <c r="A821" s="31">
        <v>7045681</v>
      </c>
      <c r="B821" s="32">
        <v>19700000</v>
      </c>
      <c r="C821" s="33" t="s">
        <v>206</v>
      </c>
      <c r="D821" s="33" t="s">
        <v>174</v>
      </c>
      <c r="E821" s="33" t="s">
        <v>166</v>
      </c>
      <c r="F821" s="33" t="s">
        <v>163</v>
      </c>
    </row>
    <row r="822" spans="1:6" ht="15" thickBot="1">
      <c r="A822" s="31">
        <v>7046764</v>
      </c>
      <c r="B822" s="32">
        <v>130000000</v>
      </c>
      <c r="C822" s="33" t="s">
        <v>177</v>
      </c>
      <c r="D822" s="33" t="s">
        <v>161</v>
      </c>
      <c r="E822" s="33" t="s">
        <v>162</v>
      </c>
      <c r="F822" s="33" t="s">
        <v>163</v>
      </c>
    </row>
    <row r="823" spans="1:6" ht="15" thickBot="1">
      <c r="A823" s="31">
        <v>7046766</v>
      </c>
      <c r="B823" s="32">
        <v>12500000</v>
      </c>
      <c r="C823" s="33" t="s">
        <v>338</v>
      </c>
      <c r="D823" s="33" t="s">
        <v>174</v>
      </c>
      <c r="E823" s="33" t="s">
        <v>166</v>
      </c>
      <c r="F823" s="33" t="s">
        <v>163</v>
      </c>
    </row>
    <row r="824" spans="1:6" ht="15" thickBot="1">
      <c r="A824" s="31">
        <v>7047073</v>
      </c>
      <c r="B824" s="32">
        <v>49000000</v>
      </c>
      <c r="C824" s="33" t="s">
        <v>177</v>
      </c>
      <c r="D824" s="33" t="s">
        <v>174</v>
      </c>
      <c r="E824" s="33" t="s">
        <v>166</v>
      </c>
      <c r="F824" s="33" t="s">
        <v>163</v>
      </c>
    </row>
    <row r="825" spans="1:6" ht="15" thickBot="1">
      <c r="A825" s="31">
        <v>7053653</v>
      </c>
      <c r="B825" s="32">
        <v>3600000</v>
      </c>
      <c r="C825" s="33" t="s">
        <v>339</v>
      </c>
      <c r="D825" s="33" t="s">
        <v>174</v>
      </c>
      <c r="E825" s="33" t="s">
        <v>166</v>
      </c>
      <c r="F825" s="33" t="s">
        <v>163</v>
      </c>
    </row>
    <row r="826" spans="1:6" ht="15" thickBot="1">
      <c r="A826" s="31">
        <v>7057132</v>
      </c>
      <c r="B826" s="32">
        <v>12000000</v>
      </c>
      <c r="C826" s="33" t="s">
        <v>210</v>
      </c>
      <c r="D826" s="33" t="s">
        <v>169</v>
      </c>
      <c r="E826" s="34" t="s">
        <v>170</v>
      </c>
      <c r="F826" s="33" t="s">
        <v>163</v>
      </c>
    </row>
    <row r="827" spans="1:6" ht="15" thickBot="1">
      <c r="A827" s="31">
        <v>7061437</v>
      </c>
      <c r="B827" s="32">
        <v>38000000</v>
      </c>
      <c r="C827" s="33" t="s">
        <v>177</v>
      </c>
      <c r="D827" s="33" t="s">
        <v>174</v>
      </c>
      <c r="E827" s="33" t="s">
        <v>166</v>
      </c>
      <c r="F827" s="33" t="s">
        <v>163</v>
      </c>
    </row>
    <row r="828" spans="1:6" ht="15" thickBot="1">
      <c r="A828" s="31">
        <v>7071362</v>
      </c>
      <c r="B828" s="32">
        <v>29500000</v>
      </c>
      <c r="C828" s="33" t="s">
        <v>177</v>
      </c>
      <c r="D828" s="33" t="s">
        <v>174</v>
      </c>
      <c r="E828" s="33" t="s">
        <v>166</v>
      </c>
      <c r="F828" s="33" t="s">
        <v>163</v>
      </c>
    </row>
    <row r="829" spans="1:6" ht="15" thickBot="1">
      <c r="A829" s="31">
        <v>7072979</v>
      </c>
      <c r="B829" s="32">
        <v>27000000</v>
      </c>
      <c r="C829" s="33" t="s">
        <v>177</v>
      </c>
      <c r="D829" s="33" t="s">
        <v>174</v>
      </c>
      <c r="E829" s="33" t="s">
        <v>166</v>
      </c>
      <c r="F829" s="33" t="s">
        <v>163</v>
      </c>
    </row>
    <row r="830" spans="1:6" ht="15" thickBot="1">
      <c r="A830" s="31">
        <v>7075847</v>
      </c>
      <c r="B830" s="32">
        <v>85000000</v>
      </c>
      <c r="C830" s="33" t="s">
        <v>177</v>
      </c>
      <c r="D830" s="33" t="s">
        <v>161</v>
      </c>
      <c r="E830" s="33" t="s">
        <v>162</v>
      </c>
      <c r="F830" s="33" t="s">
        <v>163</v>
      </c>
    </row>
    <row r="831" spans="1:6" ht="29" thickBot="1">
      <c r="A831" s="31">
        <v>7076743</v>
      </c>
      <c r="B831" s="32">
        <v>12500000</v>
      </c>
      <c r="C831" s="33" t="s">
        <v>286</v>
      </c>
      <c r="D831" s="33" t="s">
        <v>161</v>
      </c>
      <c r="E831" s="33" t="s">
        <v>162</v>
      </c>
      <c r="F831" s="33" t="s">
        <v>163</v>
      </c>
    </row>
    <row r="832" spans="1:6" ht="15" thickBot="1">
      <c r="A832" s="31">
        <v>7077981</v>
      </c>
      <c r="B832" s="32">
        <v>5300000</v>
      </c>
      <c r="C832" s="33" t="s">
        <v>181</v>
      </c>
      <c r="D832" s="33" t="s">
        <v>174</v>
      </c>
      <c r="E832" s="33" t="s">
        <v>166</v>
      </c>
      <c r="F832" s="33" t="s">
        <v>163</v>
      </c>
    </row>
    <row r="833" spans="1:6" ht="15" thickBot="1">
      <c r="A833" s="31">
        <v>7078153</v>
      </c>
      <c r="B833" s="32">
        <v>150000</v>
      </c>
      <c r="C833" s="33" t="s">
        <v>274</v>
      </c>
      <c r="D833" s="33" t="s">
        <v>169</v>
      </c>
      <c r="E833" s="34" t="s">
        <v>170</v>
      </c>
      <c r="F833" s="33" t="s">
        <v>167</v>
      </c>
    </row>
    <row r="834" spans="1:6" ht="15" thickBot="1">
      <c r="A834" s="31">
        <v>7078169</v>
      </c>
      <c r="B834" s="32">
        <v>27500000</v>
      </c>
      <c r="C834" s="33" t="s">
        <v>274</v>
      </c>
      <c r="D834" s="33" t="s">
        <v>169</v>
      </c>
      <c r="E834" s="34" t="s">
        <v>170</v>
      </c>
      <c r="F834" s="33" t="s">
        <v>163</v>
      </c>
    </row>
    <row r="835" spans="1:6" ht="15" thickBot="1">
      <c r="A835" s="31">
        <v>7080700</v>
      </c>
      <c r="B835" s="32">
        <v>17500000</v>
      </c>
      <c r="C835" s="33" t="s">
        <v>279</v>
      </c>
      <c r="D835" s="33" t="s">
        <v>161</v>
      </c>
      <c r="E835" s="33" t="s">
        <v>162</v>
      </c>
      <c r="F835" s="33" t="s">
        <v>163</v>
      </c>
    </row>
    <row r="836" spans="1:6" ht="15" thickBot="1">
      <c r="A836" s="31">
        <v>7080710</v>
      </c>
      <c r="B836" s="32">
        <v>26500000</v>
      </c>
      <c r="C836" s="33" t="s">
        <v>160</v>
      </c>
      <c r="D836" s="33" t="s">
        <v>174</v>
      </c>
      <c r="E836" s="33" t="s">
        <v>166</v>
      </c>
      <c r="F836" s="33" t="s">
        <v>163</v>
      </c>
    </row>
    <row r="837" spans="1:6" ht="15" thickBot="1">
      <c r="A837" s="31">
        <v>7080833</v>
      </c>
      <c r="B837" s="32">
        <v>15000</v>
      </c>
      <c r="C837" s="33" t="s">
        <v>221</v>
      </c>
      <c r="D837" s="33" t="s">
        <v>169</v>
      </c>
      <c r="E837" s="34" t="s">
        <v>170</v>
      </c>
      <c r="F837" s="33" t="s">
        <v>167</v>
      </c>
    </row>
    <row r="838" spans="1:6" ht="15" thickBot="1">
      <c r="A838" s="31">
        <v>7083372</v>
      </c>
      <c r="B838" s="32">
        <v>8000000</v>
      </c>
      <c r="C838" s="33" t="s">
        <v>340</v>
      </c>
      <c r="D838" s="33" t="s">
        <v>200</v>
      </c>
      <c r="E838" s="33" t="s">
        <v>166</v>
      </c>
      <c r="F838" s="33" t="s">
        <v>163</v>
      </c>
    </row>
    <row r="839" spans="1:6" ht="15" thickBot="1">
      <c r="A839" s="31">
        <v>7087527</v>
      </c>
      <c r="B839" s="32">
        <v>120000000</v>
      </c>
      <c r="C839" s="33" t="s">
        <v>177</v>
      </c>
      <c r="D839" s="33" t="s">
        <v>161</v>
      </c>
      <c r="E839" s="33" t="s">
        <v>162</v>
      </c>
      <c r="F839" s="33" t="s">
        <v>163</v>
      </c>
    </row>
    <row r="840" spans="1:6" ht="15" thickBot="1">
      <c r="A840" s="31">
        <v>7087820</v>
      </c>
      <c r="B840" s="32">
        <v>150000000</v>
      </c>
      <c r="C840" s="33" t="s">
        <v>177</v>
      </c>
      <c r="D840" s="33" t="s">
        <v>161</v>
      </c>
      <c r="E840" s="33" t="s">
        <v>162</v>
      </c>
      <c r="F840" s="33" t="s">
        <v>163</v>
      </c>
    </row>
    <row r="841" spans="1:6" ht="15" thickBot="1">
      <c r="A841" s="31">
        <v>7090298</v>
      </c>
      <c r="B841" s="32">
        <v>45000</v>
      </c>
      <c r="C841" s="33" t="s">
        <v>279</v>
      </c>
      <c r="D841" s="33" t="s">
        <v>161</v>
      </c>
      <c r="E841" s="33" t="s">
        <v>162</v>
      </c>
      <c r="F841" s="33" t="s">
        <v>167</v>
      </c>
    </row>
    <row r="842" spans="1:6" ht="29" thickBot="1">
      <c r="A842" s="31">
        <v>7091273</v>
      </c>
      <c r="B842" s="32">
        <v>4666000</v>
      </c>
      <c r="C842" s="33" t="s">
        <v>286</v>
      </c>
      <c r="D842" s="33" t="s">
        <v>161</v>
      </c>
      <c r="E842" s="33" t="s">
        <v>162</v>
      </c>
      <c r="F842" s="33" t="s">
        <v>163</v>
      </c>
    </row>
    <row r="843" spans="1:6" ht="29" thickBot="1">
      <c r="A843" s="31">
        <v>7091319</v>
      </c>
      <c r="B843" s="32">
        <v>7960000</v>
      </c>
      <c r="C843" s="33" t="s">
        <v>286</v>
      </c>
      <c r="D843" s="33" t="s">
        <v>161</v>
      </c>
      <c r="E843" s="33" t="s">
        <v>162</v>
      </c>
      <c r="F843" s="33" t="s">
        <v>163</v>
      </c>
    </row>
    <row r="844" spans="1:6" ht="29" thickBot="1">
      <c r="A844" s="31">
        <v>7091398</v>
      </c>
      <c r="B844" s="32">
        <v>10100000</v>
      </c>
      <c r="C844" s="33" t="s">
        <v>286</v>
      </c>
      <c r="D844" s="33" t="s">
        <v>161</v>
      </c>
      <c r="E844" s="33" t="s">
        <v>162</v>
      </c>
      <c r="F844" s="33" t="s">
        <v>163</v>
      </c>
    </row>
    <row r="845" spans="1:6" ht="29" thickBot="1">
      <c r="A845" s="31">
        <v>7091499</v>
      </c>
      <c r="B845" s="32">
        <v>3763000</v>
      </c>
      <c r="C845" s="33" t="s">
        <v>286</v>
      </c>
      <c r="D845" s="33" t="s">
        <v>161</v>
      </c>
      <c r="E845" s="33" t="s">
        <v>162</v>
      </c>
      <c r="F845" s="33" t="s">
        <v>163</v>
      </c>
    </row>
    <row r="846" spans="1:6" ht="29" thickBot="1">
      <c r="A846" s="31">
        <v>7091570</v>
      </c>
      <c r="B846" s="32">
        <v>4090000</v>
      </c>
      <c r="C846" s="33" t="s">
        <v>286</v>
      </c>
      <c r="D846" s="33" t="s">
        <v>161</v>
      </c>
      <c r="E846" s="33" t="s">
        <v>162</v>
      </c>
      <c r="F846" s="33" t="s">
        <v>163</v>
      </c>
    </row>
    <row r="847" spans="1:6" ht="29" thickBot="1">
      <c r="A847" s="31">
        <v>7091607</v>
      </c>
      <c r="B847" s="32">
        <v>4797000</v>
      </c>
      <c r="C847" s="33" t="s">
        <v>286</v>
      </c>
      <c r="D847" s="33" t="s">
        <v>161</v>
      </c>
      <c r="E847" s="33" t="s">
        <v>162</v>
      </c>
      <c r="F847" s="33" t="s">
        <v>163</v>
      </c>
    </row>
    <row r="848" spans="1:6" ht="29" thickBot="1">
      <c r="A848" s="31">
        <v>7091653</v>
      </c>
      <c r="B848" s="32">
        <v>5136000</v>
      </c>
      <c r="C848" s="33" t="s">
        <v>286</v>
      </c>
      <c r="D848" s="33" t="s">
        <v>161</v>
      </c>
      <c r="E848" s="33" t="s">
        <v>162</v>
      </c>
      <c r="F848" s="33" t="s">
        <v>163</v>
      </c>
    </row>
    <row r="849" spans="1:6" ht="29" thickBot="1">
      <c r="A849" s="31">
        <v>7091720</v>
      </c>
      <c r="B849" s="32">
        <v>10100000</v>
      </c>
      <c r="C849" s="33" t="s">
        <v>286</v>
      </c>
      <c r="D849" s="33" t="s">
        <v>161</v>
      </c>
      <c r="E849" s="33" t="s">
        <v>162</v>
      </c>
      <c r="F849" s="33" t="s">
        <v>163</v>
      </c>
    </row>
    <row r="850" spans="1:6" ht="15" thickBot="1">
      <c r="A850" s="31">
        <v>7096197</v>
      </c>
      <c r="B850" s="32">
        <v>85000</v>
      </c>
      <c r="C850" s="33" t="s">
        <v>198</v>
      </c>
      <c r="D850" s="33" t="s">
        <v>169</v>
      </c>
      <c r="E850" s="34" t="s">
        <v>170</v>
      </c>
      <c r="F850" s="33" t="s">
        <v>167</v>
      </c>
    </row>
    <row r="851" spans="1:6" ht="15" thickBot="1">
      <c r="A851" s="31">
        <v>7096732</v>
      </c>
      <c r="B851" s="32">
        <v>42500000</v>
      </c>
      <c r="C851" s="33" t="s">
        <v>177</v>
      </c>
      <c r="D851" s="33" t="s">
        <v>174</v>
      </c>
      <c r="E851" s="33" t="s">
        <v>166</v>
      </c>
      <c r="F851" s="33" t="s">
        <v>163</v>
      </c>
    </row>
    <row r="852" spans="1:6" ht="15" thickBot="1">
      <c r="A852" s="31">
        <v>7100593</v>
      </c>
      <c r="B852" s="32">
        <v>70000</v>
      </c>
      <c r="C852" s="33" t="s">
        <v>183</v>
      </c>
      <c r="D852" s="33" t="s">
        <v>169</v>
      </c>
      <c r="E852" s="34" t="s">
        <v>170</v>
      </c>
      <c r="F852" s="33" t="s">
        <v>167</v>
      </c>
    </row>
    <row r="853" spans="1:6" ht="15" thickBot="1">
      <c r="A853" s="31">
        <v>7101001</v>
      </c>
      <c r="B853" s="32">
        <v>65000</v>
      </c>
      <c r="C853" s="33" t="s">
        <v>198</v>
      </c>
      <c r="D853" s="33" t="s">
        <v>169</v>
      </c>
      <c r="E853" s="34" t="s">
        <v>170</v>
      </c>
      <c r="F853" s="33" t="s">
        <v>167</v>
      </c>
    </row>
    <row r="854" spans="1:6" ht="29" thickBot="1">
      <c r="A854" s="31">
        <v>7102266</v>
      </c>
      <c r="B854" s="32">
        <v>4666000</v>
      </c>
      <c r="C854" s="33" t="s">
        <v>286</v>
      </c>
      <c r="D854" s="33" t="s">
        <v>161</v>
      </c>
      <c r="E854" s="33" t="s">
        <v>162</v>
      </c>
      <c r="F854" s="33" t="s">
        <v>163</v>
      </c>
    </row>
    <row r="855" spans="1:6" ht="29" thickBot="1">
      <c r="A855" s="31">
        <v>7102318</v>
      </c>
      <c r="B855" s="32">
        <v>7960000</v>
      </c>
      <c r="C855" s="33" t="s">
        <v>286</v>
      </c>
      <c r="D855" s="33" t="s">
        <v>161</v>
      </c>
      <c r="E855" s="33" t="s">
        <v>162</v>
      </c>
      <c r="F855" s="33" t="s">
        <v>163</v>
      </c>
    </row>
    <row r="856" spans="1:6" ht="29" thickBot="1">
      <c r="A856" s="31">
        <v>7102443</v>
      </c>
      <c r="B856" s="32">
        <v>10100000</v>
      </c>
      <c r="C856" s="33" t="s">
        <v>286</v>
      </c>
      <c r="D856" s="33" t="s">
        <v>161</v>
      </c>
      <c r="E856" s="33" t="s">
        <v>162</v>
      </c>
      <c r="F856" s="33" t="s">
        <v>163</v>
      </c>
    </row>
    <row r="857" spans="1:6" ht="29" thickBot="1">
      <c r="A857" s="31">
        <v>7108869</v>
      </c>
      <c r="B857" s="32">
        <v>3763000</v>
      </c>
      <c r="C857" s="33" t="s">
        <v>286</v>
      </c>
      <c r="D857" s="33" t="s">
        <v>161</v>
      </c>
      <c r="E857" s="33" t="s">
        <v>162</v>
      </c>
      <c r="F857" s="33" t="s">
        <v>163</v>
      </c>
    </row>
    <row r="858" spans="1:6" ht="29" thickBot="1">
      <c r="A858" s="31">
        <v>7108876</v>
      </c>
      <c r="B858" s="32">
        <v>4090000</v>
      </c>
      <c r="C858" s="33" t="s">
        <v>286</v>
      </c>
      <c r="D858" s="33" t="s">
        <v>161</v>
      </c>
      <c r="E858" s="33" t="s">
        <v>162</v>
      </c>
      <c r="F858" s="33" t="s">
        <v>163</v>
      </c>
    </row>
    <row r="859" spans="1:6" ht="29" thickBot="1">
      <c r="A859" s="31">
        <v>7108887</v>
      </c>
      <c r="B859" s="32">
        <v>4797000</v>
      </c>
      <c r="C859" s="33" t="s">
        <v>286</v>
      </c>
      <c r="D859" s="33" t="s">
        <v>161</v>
      </c>
      <c r="E859" s="33" t="s">
        <v>162</v>
      </c>
      <c r="F859" s="33" t="s">
        <v>163</v>
      </c>
    </row>
    <row r="860" spans="1:6" ht="15" thickBot="1">
      <c r="A860" s="31">
        <v>7108898</v>
      </c>
      <c r="B860" s="32">
        <v>5136000</v>
      </c>
      <c r="C860" s="33" t="s">
        <v>285</v>
      </c>
      <c r="D860" s="33" t="s">
        <v>161</v>
      </c>
      <c r="E860" s="33" t="s">
        <v>162</v>
      </c>
      <c r="F860" s="33" t="s">
        <v>163</v>
      </c>
    </row>
    <row r="861" spans="1:6" ht="15" thickBot="1">
      <c r="A861" s="31">
        <v>7109236</v>
      </c>
      <c r="B861" s="32">
        <v>115000000</v>
      </c>
      <c r="C861" s="33" t="s">
        <v>177</v>
      </c>
      <c r="D861" s="33" t="s">
        <v>161</v>
      </c>
      <c r="E861" s="33" t="s">
        <v>162</v>
      </c>
      <c r="F861" s="33" t="s">
        <v>163</v>
      </c>
    </row>
    <row r="862" spans="1:6" ht="15" thickBot="1">
      <c r="A862" s="31">
        <v>7117183</v>
      </c>
      <c r="B862" s="32">
        <v>7500000</v>
      </c>
      <c r="C862" s="33" t="s">
        <v>272</v>
      </c>
      <c r="D862" s="33" t="s">
        <v>161</v>
      </c>
      <c r="E862" s="33" t="s">
        <v>162</v>
      </c>
      <c r="F862" s="33" t="s">
        <v>163</v>
      </c>
    </row>
    <row r="863" spans="1:6" ht="15" thickBot="1">
      <c r="A863" s="31">
        <v>7117350</v>
      </c>
      <c r="B863" s="32">
        <v>250000</v>
      </c>
      <c r="C863" s="33" t="s">
        <v>274</v>
      </c>
      <c r="D863" s="33" t="s">
        <v>169</v>
      </c>
      <c r="E863" s="34" t="s">
        <v>170</v>
      </c>
      <c r="F863" s="33" t="s">
        <v>167</v>
      </c>
    </row>
    <row r="864" spans="1:6" ht="15" thickBot="1">
      <c r="A864" s="31">
        <v>7118019</v>
      </c>
      <c r="B864" s="32">
        <v>4800000</v>
      </c>
      <c r="C864" s="33" t="s">
        <v>272</v>
      </c>
      <c r="D864" s="33" t="s">
        <v>161</v>
      </c>
      <c r="E864" s="33" t="s">
        <v>162</v>
      </c>
      <c r="F864" s="33" t="s">
        <v>163</v>
      </c>
    </row>
    <row r="865" spans="1:6" ht="15" thickBot="1">
      <c r="A865" s="31">
        <v>7121123</v>
      </c>
      <c r="B865" s="32">
        <v>2200000</v>
      </c>
      <c r="C865" s="33" t="s">
        <v>184</v>
      </c>
      <c r="D865" s="33" t="s">
        <v>161</v>
      </c>
      <c r="E865" s="33" t="s">
        <v>162</v>
      </c>
      <c r="F865" s="33" t="s">
        <v>163</v>
      </c>
    </row>
    <row r="866" spans="1:6" ht="15" thickBot="1">
      <c r="A866" s="31">
        <v>7123670</v>
      </c>
      <c r="B866" s="32">
        <v>35000</v>
      </c>
      <c r="C866" s="33" t="s">
        <v>171</v>
      </c>
      <c r="D866" s="33" t="s">
        <v>161</v>
      </c>
      <c r="E866" s="33" t="s">
        <v>162</v>
      </c>
      <c r="F866" s="33" t="s">
        <v>167</v>
      </c>
    </row>
    <row r="867" spans="1:6" ht="15" thickBot="1">
      <c r="A867" s="31">
        <v>7123756</v>
      </c>
      <c r="B867" s="32">
        <v>135000000</v>
      </c>
      <c r="C867" s="33" t="s">
        <v>177</v>
      </c>
      <c r="D867" s="33" t="s">
        <v>161</v>
      </c>
      <c r="E867" s="33" t="s">
        <v>162</v>
      </c>
      <c r="F867" s="33" t="s">
        <v>163</v>
      </c>
    </row>
    <row r="868" spans="1:6" ht="15" thickBot="1">
      <c r="A868" s="31">
        <v>7126395</v>
      </c>
      <c r="B868" s="32">
        <v>55000000</v>
      </c>
      <c r="C868" s="33" t="s">
        <v>256</v>
      </c>
      <c r="D868" s="33" t="s">
        <v>169</v>
      </c>
      <c r="E868" s="34" t="s">
        <v>170</v>
      </c>
      <c r="F868" s="33" t="s">
        <v>163</v>
      </c>
    </row>
    <row r="869" spans="1:6" ht="15" thickBot="1">
      <c r="A869" s="31">
        <v>7130669</v>
      </c>
      <c r="B869" s="32">
        <v>23500000</v>
      </c>
      <c r="C869" s="33" t="s">
        <v>177</v>
      </c>
      <c r="D869" s="33" t="s">
        <v>174</v>
      </c>
      <c r="E869" s="33" t="s">
        <v>166</v>
      </c>
      <c r="F869" s="33" t="s">
        <v>163</v>
      </c>
    </row>
    <row r="870" spans="1:6" ht="15" thickBot="1">
      <c r="A870" s="31">
        <v>7134214</v>
      </c>
      <c r="B870" s="32">
        <v>45000000</v>
      </c>
      <c r="C870" s="33" t="s">
        <v>177</v>
      </c>
      <c r="D870" s="33" t="s">
        <v>174</v>
      </c>
      <c r="E870" s="33" t="s">
        <v>166</v>
      </c>
      <c r="F870" s="33" t="s">
        <v>163</v>
      </c>
    </row>
    <row r="871" spans="1:6" ht="15" thickBot="1">
      <c r="A871" s="31">
        <v>7140109</v>
      </c>
      <c r="B871" s="32">
        <v>140000</v>
      </c>
      <c r="C871" s="33" t="s">
        <v>274</v>
      </c>
      <c r="D871" s="33" t="s">
        <v>169</v>
      </c>
      <c r="E871" s="34" t="s">
        <v>170</v>
      </c>
      <c r="F871" s="33" t="s">
        <v>167</v>
      </c>
    </row>
    <row r="872" spans="1:6" ht="15" thickBot="1">
      <c r="A872" s="31">
        <v>7140212</v>
      </c>
      <c r="B872" s="32">
        <v>140000</v>
      </c>
      <c r="C872" s="33" t="s">
        <v>274</v>
      </c>
      <c r="D872" s="33" t="s">
        <v>169</v>
      </c>
      <c r="E872" s="34" t="s">
        <v>170</v>
      </c>
      <c r="F872" s="33" t="s">
        <v>167</v>
      </c>
    </row>
    <row r="873" spans="1:6" ht="15" thickBot="1">
      <c r="A873" s="31">
        <v>7142757</v>
      </c>
      <c r="B873" s="32">
        <v>3500000</v>
      </c>
      <c r="C873" s="33" t="s">
        <v>180</v>
      </c>
      <c r="D873" s="33" t="s">
        <v>165</v>
      </c>
      <c r="E873" s="33" t="s">
        <v>166</v>
      </c>
      <c r="F873" s="33" t="s">
        <v>163</v>
      </c>
    </row>
    <row r="874" spans="1:6" ht="15" thickBot="1">
      <c r="A874" s="31">
        <v>7143881</v>
      </c>
      <c r="B874" s="32">
        <v>140000000</v>
      </c>
      <c r="C874" s="33" t="s">
        <v>198</v>
      </c>
      <c r="D874" s="33" t="s">
        <v>169</v>
      </c>
      <c r="E874" s="34" t="s">
        <v>170</v>
      </c>
      <c r="F874" s="33" t="s">
        <v>163</v>
      </c>
    </row>
    <row r="875" spans="1:6" ht="15" thickBot="1">
      <c r="A875" s="31">
        <v>7154249</v>
      </c>
      <c r="B875" s="32">
        <v>27500000</v>
      </c>
      <c r="C875" s="33" t="s">
        <v>177</v>
      </c>
      <c r="D875" s="33" t="s">
        <v>174</v>
      </c>
      <c r="E875" s="33" t="s">
        <v>166</v>
      </c>
      <c r="F875" s="33" t="s">
        <v>163</v>
      </c>
    </row>
    <row r="876" spans="1:6" ht="15" thickBot="1">
      <c r="A876" s="31">
        <v>7158248</v>
      </c>
      <c r="B876" s="32">
        <v>16000</v>
      </c>
      <c r="C876" s="33" t="s">
        <v>180</v>
      </c>
      <c r="D876" s="33" t="s">
        <v>165</v>
      </c>
      <c r="E876" s="33" t="s">
        <v>166</v>
      </c>
      <c r="F876" s="33" t="s">
        <v>167</v>
      </c>
    </row>
    <row r="877" spans="1:6" ht="15" thickBot="1">
      <c r="A877" s="31">
        <v>7167594</v>
      </c>
      <c r="B877" s="32">
        <v>140000000</v>
      </c>
      <c r="C877" s="33" t="s">
        <v>177</v>
      </c>
      <c r="D877" s="33" t="s">
        <v>161</v>
      </c>
      <c r="E877" s="33" t="s">
        <v>162</v>
      </c>
      <c r="F877" s="33" t="s">
        <v>163</v>
      </c>
    </row>
    <row r="878" spans="1:6" ht="15" thickBot="1">
      <c r="A878" s="31">
        <v>7167595</v>
      </c>
      <c r="B878" s="32">
        <v>135000000</v>
      </c>
      <c r="C878" s="33" t="s">
        <v>177</v>
      </c>
      <c r="D878" s="33" t="s">
        <v>161</v>
      </c>
      <c r="E878" s="33" t="s">
        <v>162</v>
      </c>
      <c r="F878" s="33" t="s">
        <v>163</v>
      </c>
    </row>
    <row r="879" spans="1:6" ht="15" thickBot="1">
      <c r="A879" s="31">
        <v>7167598</v>
      </c>
      <c r="B879" s="32">
        <v>65000000</v>
      </c>
      <c r="C879" s="33" t="s">
        <v>177</v>
      </c>
      <c r="D879" s="33" t="s">
        <v>161</v>
      </c>
      <c r="E879" s="33" t="s">
        <v>162</v>
      </c>
      <c r="F879" s="33" t="s">
        <v>163</v>
      </c>
    </row>
    <row r="880" spans="1:6" ht="15" thickBot="1">
      <c r="A880" s="31">
        <v>7167599</v>
      </c>
      <c r="B880" s="32">
        <v>240000000</v>
      </c>
      <c r="C880" s="33" t="s">
        <v>177</v>
      </c>
      <c r="D880" s="33" t="s">
        <v>161</v>
      </c>
      <c r="E880" s="33" t="s">
        <v>162</v>
      </c>
      <c r="F880" s="33" t="s">
        <v>163</v>
      </c>
    </row>
    <row r="881" spans="1:6" ht="15" thickBot="1">
      <c r="A881" s="31">
        <v>7167601</v>
      </c>
      <c r="B881" s="32">
        <v>155000000</v>
      </c>
      <c r="C881" s="33" t="s">
        <v>177</v>
      </c>
      <c r="D881" s="33" t="s">
        <v>161</v>
      </c>
      <c r="E881" s="33" t="s">
        <v>162</v>
      </c>
      <c r="F881" s="33" t="s">
        <v>163</v>
      </c>
    </row>
    <row r="882" spans="1:6" ht="15" thickBot="1">
      <c r="A882" s="31">
        <v>7167602</v>
      </c>
      <c r="B882" s="32">
        <v>140000000</v>
      </c>
      <c r="C882" s="33" t="s">
        <v>177</v>
      </c>
      <c r="D882" s="33" t="s">
        <v>161</v>
      </c>
      <c r="E882" s="33" t="s">
        <v>162</v>
      </c>
      <c r="F882" s="33" t="s">
        <v>163</v>
      </c>
    </row>
    <row r="883" spans="1:6" ht="15" thickBot="1">
      <c r="A883" s="31">
        <v>7167748</v>
      </c>
      <c r="B883" s="32">
        <v>110000000</v>
      </c>
      <c r="C883" s="33" t="s">
        <v>177</v>
      </c>
      <c r="D883" s="33" t="s">
        <v>161</v>
      </c>
      <c r="E883" s="33" t="s">
        <v>162</v>
      </c>
      <c r="F883" s="33" t="s">
        <v>163</v>
      </c>
    </row>
    <row r="884" spans="1:6" ht="15" thickBot="1">
      <c r="A884" s="31">
        <v>7167749</v>
      </c>
      <c r="B884" s="32">
        <v>105000000</v>
      </c>
      <c r="C884" s="33" t="s">
        <v>177</v>
      </c>
      <c r="D884" s="33" t="s">
        <v>161</v>
      </c>
      <c r="E884" s="33" t="s">
        <v>162</v>
      </c>
      <c r="F884" s="33" t="s">
        <v>163</v>
      </c>
    </row>
    <row r="885" spans="1:6" ht="15" thickBot="1">
      <c r="A885" s="31">
        <v>7173449</v>
      </c>
      <c r="B885" s="32">
        <v>11500000</v>
      </c>
      <c r="C885" s="33" t="s">
        <v>204</v>
      </c>
      <c r="D885" s="33" t="s">
        <v>174</v>
      </c>
      <c r="E885" s="33" t="s">
        <v>166</v>
      </c>
      <c r="F885" s="33" t="s">
        <v>163</v>
      </c>
    </row>
    <row r="886" spans="1:6" ht="15" thickBot="1">
      <c r="A886" s="31">
        <v>7174941</v>
      </c>
      <c r="B886" s="32">
        <v>7200000</v>
      </c>
      <c r="C886" s="33" t="s">
        <v>341</v>
      </c>
      <c r="D886" s="33" t="s">
        <v>174</v>
      </c>
      <c r="E886" s="33" t="s">
        <v>166</v>
      </c>
      <c r="F886" s="33" t="s">
        <v>163</v>
      </c>
    </row>
    <row r="887" spans="1:6" ht="15" thickBot="1">
      <c r="A887" s="31">
        <v>7175059</v>
      </c>
      <c r="B887" s="32">
        <v>180000</v>
      </c>
      <c r="C887" s="33" t="s">
        <v>274</v>
      </c>
      <c r="D887" s="33" t="s">
        <v>169</v>
      </c>
      <c r="E887" s="34" t="s">
        <v>170</v>
      </c>
      <c r="F887" s="33" t="s">
        <v>167</v>
      </c>
    </row>
    <row r="888" spans="1:6" ht="15" thickBot="1">
      <c r="A888" s="31">
        <v>7176330</v>
      </c>
      <c r="B888" s="32">
        <v>54500000</v>
      </c>
      <c r="C888" s="33" t="s">
        <v>307</v>
      </c>
      <c r="D888" s="33" t="s">
        <v>169</v>
      </c>
      <c r="E888" s="34" t="s">
        <v>170</v>
      </c>
      <c r="F888" s="33" t="s">
        <v>163</v>
      </c>
    </row>
    <row r="889" spans="1:6" ht="15" thickBot="1">
      <c r="A889" s="31">
        <v>7178686</v>
      </c>
      <c r="B889" s="32">
        <v>60000000</v>
      </c>
      <c r="C889" s="33" t="s">
        <v>177</v>
      </c>
      <c r="D889" s="33" t="s">
        <v>174</v>
      </c>
      <c r="E889" s="33" t="s">
        <v>166</v>
      </c>
      <c r="F889" s="33" t="s">
        <v>163</v>
      </c>
    </row>
    <row r="890" spans="1:6" ht="15" thickBot="1">
      <c r="A890" s="31">
        <v>7181987</v>
      </c>
      <c r="B890" s="32">
        <v>39500000</v>
      </c>
      <c r="C890" s="33" t="s">
        <v>177</v>
      </c>
      <c r="D890" s="33" t="s">
        <v>174</v>
      </c>
      <c r="E890" s="33" t="s">
        <v>166</v>
      </c>
      <c r="F890" s="33" t="s">
        <v>163</v>
      </c>
    </row>
    <row r="891" spans="1:6" ht="15" thickBot="1">
      <c r="A891" s="31">
        <v>7184116</v>
      </c>
      <c r="B891" s="32">
        <v>45000000</v>
      </c>
      <c r="C891" s="33" t="s">
        <v>177</v>
      </c>
      <c r="D891" s="33" t="s">
        <v>174</v>
      </c>
      <c r="E891" s="33" t="s">
        <v>166</v>
      </c>
      <c r="F891" s="33" t="s">
        <v>163</v>
      </c>
    </row>
    <row r="892" spans="1:6" ht="15" thickBot="1">
      <c r="A892" s="31">
        <v>7187544</v>
      </c>
      <c r="B892" s="32">
        <v>45000000</v>
      </c>
      <c r="C892" s="33" t="s">
        <v>177</v>
      </c>
      <c r="D892" s="33" t="s">
        <v>174</v>
      </c>
      <c r="E892" s="33" t="s">
        <v>166</v>
      </c>
      <c r="F892" s="33" t="s">
        <v>163</v>
      </c>
    </row>
    <row r="893" spans="1:6" ht="15" thickBot="1">
      <c r="A893" s="31">
        <v>7187802</v>
      </c>
      <c r="B893" s="32">
        <v>45000000</v>
      </c>
      <c r="C893" s="33" t="s">
        <v>177</v>
      </c>
      <c r="D893" s="33" t="s">
        <v>174</v>
      </c>
      <c r="E893" s="33" t="s">
        <v>166</v>
      </c>
      <c r="F893" s="33" t="s">
        <v>163</v>
      </c>
    </row>
    <row r="894" spans="1:6" ht="15" thickBot="1">
      <c r="A894" s="31">
        <v>7189990</v>
      </c>
      <c r="B894" s="32">
        <v>14500000</v>
      </c>
      <c r="C894" s="33" t="s">
        <v>342</v>
      </c>
      <c r="D894" s="33" t="s">
        <v>174</v>
      </c>
      <c r="E894" s="33" t="s">
        <v>166</v>
      </c>
      <c r="F894" s="33" t="s">
        <v>163</v>
      </c>
    </row>
    <row r="895" spans="1:6" ht="15" thickBot="1">
      <c r="A895" s="31">
        <v>7190560</v>
      </c>
      <c r="B895" s="32">
        <v>20000</v>
      </c>
      <c r="C895" s="33" t="s">
        <v>180</v>
      </c>
      <c r="D895" s="33" t="s">
        <v>165</v>
      </c>
      <c r="E895" s="33" t="s">
        <v>166</v>
      </c>
      <c r="F895" s="33" t="s">
        <v>167</v>
      </c>
    </row>
    <row r="896" spans="1:6" ht="15" thickBot="1">
      <c r="A896" s="31">
        <v>7200280</v>
      </c>
      <c r="B896" s="32">
        <v>17500000</v>
      </c>
      <c r="C896" s="33" t="s">
        <v>272</v>
      </c>
      <c r="D896" s="33" t="s">
        <v>161</v>
      </c>
      <c r="E896" s="33" t="s">
        <v>162</v>
      </c>
      <c r="F896" s="33" t="s">
        <v>163</v>
      </c>
    </row>
    <row r="897" spans="1:6" ht="15" thickBot="1">
      <c r="A897" s="31">
        <v>7202445</v>
      </c>
      <c r="B897" s="32">
        <v>77500000</v>
      </c>
      <c r="C897" s="33" t="s">
        <v>177</v>
      </c>
      <c r="D897" s="33" t="s">
        <v>161</v>
      </c>
      <c r="E897" s="33" t="s">
        <v>162</v>
      </c>
      <c r="F897" s="33" t="s">
        <v>163</v>
      </c>
    </row>
    <row r="898" spans="1:6" ht="15" thickBot="1">
      <c r="A898" s="31">
        <v>7202496</v>
      </c>
      <c r="B898" s="32">
        <v>22500000</v>
      </c>
      <c r="C898" s="33" t="s">
        <v>204</v>
      </c>
      <c r="D898" s="33" t="s">
        <v>174</v>
      </c>
      <c r="E898" s="33" t="s">
        <v>166</v>
      </c>
      <c r="F898" s="33" t="s">
        <v>163</v>
      </c>
    </row>
    <row r="899" spans="1:6" ht="15" thickBot="1">
      <c r="A899" s="31">
        <v>7202516</v>
      </c>
      <c r="B899" s="32">
        <v>125000000</v>
      </c>
      <c r="C899" s="33" t="s">
        <v>177</v>
      </c>
      <c r="D899" s="33" t="s">
        <v>161</v>
      </c>
      <c r="E899" s="33" t="s">
        <v>162</v>
      </c>
      <c r="F899" s="33" t="s">
        <v>163</v>
      </c>
    </row>
    <row r="900" spans="1:6" ht="15" thickBot="1">
      <c r="A900" s="31">
        <v>7202558</v>
      </c>
      <c r="B900" s="32">
        <v>170000000</v>
      </c>
      <c r="C900" s="33" t="s">
        <v>177</v>
      </c>
      <c r="D900" s="33" t="s">
        <v>161</v>
      </c>
      <c r="E900" s="33" t="s">
        <v>162</v>
      </c>
      <c r="F900" s="33" t="s">
        <v>163</v>
      </c>
    </row>
    <row r="901" spans="1:6" ht="15" thickBot="1">
      <c r="A901" s="31">
        <v>7203390</v>
      </c>
      <c r="B901" s="32">
        <v>17000</v>
      </c>
      <c r="C901" s="33" t="s">
        <v>180</v>
      </c>
      <c r="D901" s="33" t="s">
        <v>165</v>
      </c>
      <c r="E901" s="33" t="s">
        <v>166</v>
      </c>
      <c r="F901" s="33" t="s">
        <v>167</v>
      </c>
    </row>
    <row r="902" spans="1:6" ht="15" thickBot="1">
      <c r="A902" s="31">
        <v>7203420</v>
      </c>
      <c r="B902" s="32">
        <v>35000</v>
      </c>
      <c r="C902" s="33" t="s">
        <v>180</v>
      </c>
      <c r="D902" s="33" t="s">
        <v>165</v>
      </c>
      <c r="E902" s="33" t="s">
        <v>166</v>
      </c>
      <c r="F902" s="33" t="s">
        <v>167</v>
      </c>
    </row>
    <row r="903" spans="1:6" ht="15" thickBot="1">
      <c r="A903" s="31">
        <v>7203601</v>
      </c>
      <c r="B903" s="32">
        <v>65000</v>
      </c>
      <c r="C903" s="33" t="s">
        <v>274</v>
      </c>
      <c r="D903" s="33" t="s">
        <v>169</v>
      </c>
      <c r="E903" s="34" t="s">
        <v>170</v>
      </c>
      <c r="F903" s="33" t="s">
        <v>167</v>
      </c>
    </row>
    <row r="904" spans="1:6" ht="15" thickBot="1">
      <c r="A904" s="31">
        <v>7205561</v>
      </c>
      <c r="B904" s="32">
        <v>27500000</v>
      </c>
      <c r="C904" s="33" t="s">
        <v>177</v>
      </c>
      <c r="D904" s="33" t="s">
        <v>174</v>
      </c>
      <c r="E904" s="33" t="s">
        <v>166</v>
      </c>
      <c r="F904" s="33" t="s">
        <v>163</v>
      </c>
    </row>
    <row r="905" spans="1:6" ht="15" thickBot="1">
      <c r="A905" s="31">
        <v>7207271</v>
      </c>
      <c r="B905" s="32">
        <v>95000</v>
      </c>
      <c r="C905" s="33" t="s">
        <v>204</v>
      </c>
      <c r="D905" s="33" t="s">
        <v>169</v>
      </c>
      <c r="E905" s="34" t="s">
        <v>170</v>
      </c>
      <c r="F905" s="33" t="s">
        <v>167</v>
      </c>
    </row>
    <row r="906" spans="1:6" ht="15" thickBot="1">
      <c r="A906" s="31">
        <v>7207841</v>
      </c>
      <c r="B906" s="32">
        <v>4500000</v>
      </c>
      <c r="C906" s="33" t="s">
        <v>343</v>
      </c>
      <c r="D906" s="33" t="s">
        <v>169</v>
      </c>
      <c r="E906" s="34" t="s">
        <v>170</v>
      </c>
      <c r="F906" s="33" t="s">
        <v>163</v>
      </c>
    </row>
    <row r="907" spans="1:6" ht="15" thickBot="1">
      <c r="A907" s="31">
        <v>7214819</v>
      </c>
      <c r="B907" s="32">
        <v>108500000</v>
      </c>
      <c r="C907" s="33" t="s">
        <v>177</v>
      </c>
      <c r="D907" s="33" t="s">
        <v>174</v>
      </c>
      <c r="E907" s="33" t="s">
        <v>166</v>
      </c>
      <c r="F907" s="33" t="s">
        <v>163</v>
      </c>
    </row>
    <row r="908" spans="1:6" ht="15" thickBot="1">
      <c r="A908" s="31">
        <v>7218543</v>
      </c>
      <c r="B908" s="32">
        <v>135000000</v>
      </c>
      <c r="C908" s="33" t="s">
        <v>177</v>
      </c>
      <c r="D908" s="33" t="s">
        <v>161</v>
      </c>
      <c r="E908" s="33" t="s">
        <v>162</v>
      </c>
      <c r="F908" s="33" t="s">
        <v>163</v>
      </c>
    </row>
    <row r="909" spans="1:6" ht="15" thickBot="1">
      <c r="A909" s="31">
        <v>7219543</v>
      </c>
      <c r="B909" s="32">
        <v>32500000</v>
      </c>
      <c r="C909" s="33" t="s">
        <v>177</v>
      </c>
      <c r="D909" s="33" t="s">
        <v>174</v>
      </c>
      <c r="E909" s="33" t="s">
        <v>166</v>
      </c>
      <c r="F909" s="33" t="s">
        <v>163</v>
      </c>
    </row>
    <row r="910" spans="1:6" ht="15" thickBot="1">
      <c r="A910" s="31">
        <v>7224463</v>
      </c>
      <c r="B910" s="32">
        <v>19000</v>
      </c>
      <c r="C910" s="33" t="s">
        <v>291</v>
      </c>
      <c r="D910" s="33" t="s">
        <v>161</v>
      </c>
      <c r="E910" s="33" t="s">
        <v>162</v>
      </c>
      <c r="F910" s="33" t="s">
        <v>167</v>
      </c>
    </row>
    <row r="911" spans="1:6" ht="15" thickBot="1">
      <c r="A911" s="31">
        <v>7225071</v>
      </c>
      <c r="B911" s="32">
        <v>14500000</v>
      </c>
      <c r="C911" s="33" t="s">
        <v>171</v>
      </c>
      <c r="D911" s="33" t="s">
        <v>161</v>
      </c>
      <c r="E911" s="33" t="s">
        <v>162</v>
      </c>
      <c r="F911" s="33" t="s">
        <v>163</v>
      </c>
    </row>
    <row r="912" spans="1:6" ht="15" thickBot="1">
      <c r="A912" s="31">
        <v>7229455</v>
      </c>
      <c r="B912" s="32">
        <v>23500000</v>
      </c>
      <c r="C912" s="33" t="s">
        <v>221</v>
      </c>
      <c r="D912" s="33" t="s">
        <v>169</v>
      </c>
      <c r="E912" s="34" t="s">
        <v>170</v>
      </c>
      <c r="F912" s="33" t="s">
        <v>163</v>
      </c>
    </row>
    <row r="913" spans="1:6" ht="15" thickBot="1">
      <c r="A913" s="31">
        <v>7231018</v>
      </c>
      <c r="B913" s="32">
        <v>40000000</v>
      </c>
      <c r="C913" s="33" t="s">
        <v>160</v>
      </c>
      <c r="D913" s="33" t="s">
        <v>161</v>
      </c>
      <c r="E913" s="33" t="s">
        <v>162</v>
      </c>
      <c r="F913" s="33" t="s">
        <v>163</v>
      </c>
    </row>
    <row r="914" spans="1:6" ht="15" thickBot="1">
      <c r="A914" s="31">
        <v>7235279</v>
      </c>
      <c r="B914" s="32">
        <v>102500000</v>
      </c>
      <c r="C914" s="33" t="s">
        <v>177</v>
      </c>
      <c r="D914" s="33" t="s">
        <v>161</v>
      </c>
      <c r="E914" s="33" t="s">
        <v>162</v>
      </c>
      <c r="F914" s="33" t="s">
        <v>163</v>
      </c>
    </row>
    <row r="915" spans="1:6" ht="15" thickBot="1">
      <c r="A915" s="31">
        <v>7236496</v>
      </c>
      <c r="B915" s="32">
        <v>60000</v>
      </c>
      <c r="C915" s="33" t="s">
        <v>180</v>
      </c>
      <c r="D915" s="33" t="s">
        <v>165</v>
      </c>
      <c r="E915" s="33" t="s">
        <v>166</v>
      </c>
      <c r="F915" s="33" t="s">
        <v>167</v>
      </c>
    </row>
    <row r="916" spans="1:6" ht="15" thickBot="1">
      <c r="A916" s="31">
        <v>7236695</v>
      </c>
      <c r="B916" s="32">
        <v>47500000</v>
      </c>
      <c r="C916" s="33" t="s">
        <v>177</v>
      </c>
      <c r="D916" s="33" t="s">
        <v>174</v>
      </c>
      <c r="E916" s="33" t="s">
        <v>166</v>
      </c>
      <c r="F916" s="33" t="s">
        <v>163</v>
      </c>
    </row>
    <row r="917" spans="1:6" ht="15" thickBot="1">
      <c r="A917" s="31">
        <v>7240926</v>
      </c>
      <c r="B917" s="32">
        <v>6642000</v>
      </c>
      <c r="C917" s="33" t="s">
        <v>285</v>
      </c>
      <c r="D917" s="33" t="s">
        <v>161</v>
      </c>
      <c r="E917" s="33" t="s">
        <v>162</v>
      </c>
      <c r="F917" s="33" t="s">
        <v>163</v>
      </c>
    </row>
    <row r="918" spans="1:6" ht="15" thickBot="1">
      <c r="A918" s="31">
        <v>7241448</v>
      </c>
      <c r="B918" s="32">
        <v>9205000</v>
      </c>
      <c r="C918" s="33" t="s">
        <v>285</v>
      </c>
      <c r="D918" s="33" t="s">
        <v>161</v>
      </c>
      <c r="E918" s="33" t="s">
        <v>162</v>
      </c>
      <c r="F918" s="33" t="s">
        <v>163</v>
      </c>
    </row>
    <row r="919" spans="1:6" ht="15" thickBot="1">
      <c r="A919" s="31">
        <v>7241495</v>
      </c>
      <c r="B919" s="32">
        <v>12500000</v>
      </c>
      <c r="C919" s="33" t="s">
        <v>285</v>
      </c>
      <c r="D919" s="33" t="s">
        <v>161</v>
      </c>
      <c r="E919" s="33" t="s">
        <v>162</v>
      </c>
      <c r="F919" s="33" t="s">
        <v>163</v>
      </c>
    </row>
    <row r="920" spans="1:6" ht="15" thickBot="1">
      <c r="A920" s="31">
        <v>7242276</v>
      </c>
      <c r="B920" s="32">
        <v>16500000</v>
      </c>
      <c r="C920" s="33" t="s">
        <v>171</v>
      </c>
      <c r="D920" s="33" t="s">
        <v>161</v>
      </c>
      <c r="E920" s="33" t="s">
        <v>162</v>
      </c>
      <c r="F920" s="33" t="s">
        <v>163</v>
      </c>
    </row>
    <row r="921" spans="1:6" ht="15" thickBot="1">
      <c r="A921" s="31">
        <v>7249654</v>
      </c>
      <c r="B921" s="32">
        <v>45000000</v>
      </c>
      <c r="C921" s="33" t="s">
        <v>177</v>
      </c>
      <c r="D921" s="33" t="s">
        <v>174</v>
      </c>
      <c r="E921" s="33" t="s">
        <v>166</v>
      </c>
      <c r="F921" s="33" t="s">
        <v>163</v>
      </c>
    </row>
    <row r="922" spans="1:6" ht="15" thickBot="1">
      <c r="A922" s="31">
        <v>7249907</v>
      </c>
      <c r="B922" s="32">
        <v>45000000</v>
      </c>
      <c r="C922" s="33" t="s">
        <v>177</v>
      </c>
      <c r="D922" s="33" t="s">
        <v>174</v>
      </c>
      <c r="E922" s="33" t="s">
        <v>166</v>
      </c>
      <c r="F922" s="33" t="s">
        <v>163</v>
      </c>
    </row>
    <row r="923" spans="1:6" ht="15" thickBot="1">
      <c r="A923" s="31">
        <v>7251931</v>
      </c>
      <c r="B923" s="32">
        <v>43200000</v>
      </c>
      <c r="C923" s="33" t="s">
        <v>177</v>
      </c>
      <c r="D923" s="33" t="s">
        <v>174</v>
      </c>
      <c r="E923" s="33" t="s">
        <v>166</v>
      </c>
      <c r="F923" s="33" t="s">
        <v>163</v>
      </c>
    </row>
    <row r="924" spans="1:6" ht="15" thickBot="1">
      <c r="A924" s="31">
        <v>7252284</v>
      </c>
      <c r="B924" s="32">
        <v>53000000</v>
      </c>
      <c r="C924" s="33" t="s">
        <v>177</v>
      </c>
      <c r="D924" s="33" t="s">
        <v>174</v>
      </c>
      <c r="E924" s="33" t="s">
        <v>166</v>
      </c>
      <c r="F924" s="33" t="s">
        <v>163</v>
      </c>
    </row>
    <row r="925" spans="1:6" ht="15" thickBot="1">
      <c r="A925" s="31">
        <v>7252510</v>
      </c>
      <c r="B925" s="32">
        <v>17000</v>
      </c>
      <c r="C925" s="33" t="s">
        <v>180</v>
      </c>
      <c r="D925" s="33" t="s">
        <v>165</v>
      </c>
      <c r="E925" s="33" t="s">
        <v>166</v>
      </c>
      <c r="F925" s="33" t="s">
        <v>167</v>
      </c>
    </row>
    <row r="926" spans="1:6" ht="15" thickBot="1">
      <c r="A926" s="31">
        <v>7252511</v>
      </c>
      <c r="B926" s="32">
        <v>40000</v>
      </c>
      <c r="C926" s="33" t="s">
        <v>180</v>
      </c>
      <c r="D926" s="33" t="s">
        <v>165</v>
      </c>
      <c r="E926" s="33" t="s">
        <v>166</v>
      </c>
      <c r="F926" s="33" t="s">
        <v>167</v>
      </c>
    </row>
    <row r="927" spans="1:6" ht="15" thickBot="1">
      <c r="A927" s="31">
        <v>7259326</v>
      </c>
      <c r="B927" s="32">
        <v>6600000</v>
      </c>
      <c r="C927" s="33" t="s">
        <v>230</v>
      </c>
      <c r="D927" s="33" t="s">
        <v>161</v>
      </c>
      <c r="E927" s="33" t="s">
        <v>162</v>
      </c>
      <c r="F927" s="33" t="s">
        <v>163</v>
      </c>
    </row>
    <row r="928" spans="1:6" ht="15" thickBot="1">
      <c r="A928" s="31">
        <v>7261540</v>
      </c>
      <c r="B928" s="32">
        <v>52500000</v>
      </c>
      <c r="C928" s="33" t="s">
        <v>188</v>
      </c>
      <c r="D928" s="33" t="s">
        <v>165</v>
      </c>
      <c r="E928" s="33" t="s">
        <v>166</v>
      </c>
      <c r="F928" s="33" t="s">
        <v>163</v>
      </c>
    </row>
    <row r="929" spans="1:6" ht="15" thickBot="1">
      <c r="A929" s="31">
        <v>7267884</v>
      </c>
      <c r="B929" s="32">
        <v>27500000</v>
      </c>
      <c r="C929" s="33" t="s">
        <v>177</v>
      </c>
      <c r="D929" s="33" t="s">
        <v>174</v>
      </c>
      <c r="E929" s="33" t="s">
        <v>166</v>
      </c>
      <c r="F929" s="33" t="s">
        <v>163</v>
      </c>
    </row>
    <row r="930" spans="1:6" ht="15" thickBot="1">
      <c r="A930" s="31">
        <v>7268459</v>
      </c>
      <c r="B930" s="32">
        <v>37900000</v>
      </c>
      <c r="C930" s="33" t="s">
        <v>344</v>
      </c>
      <c r="D930" s="33" t="s">
        <v>169</v>
      </c>
      <c r="E930" s="34" t="s">
        <v>170</v>
      </c>
      <c r="F930" s="33" t="s">
        <v>163</v>
      </c>
    </row>
    <row r="931" spans="1:6" ht="29" thickBot="1">
      <c r="A931" s="31">
        <v>7268751</v>
      </c>
      <c r="B931" s="32">
        <v>20500000</v>
      </c>
      <c r="C931" s="33" t="s">
        <v>308</v>
      </c>
      <c r="D931" s="33" t="s">
        <v>174</v>
      </c>
      <c r="E931" s="33" t="s">
        <v>166</v>
      </c>
      <c r="F931" s="33" t="s">
        <v>163</v>
      </c>
    </row>
    <row r="932" spans="1:6" ht="15" thickBot="1">
      <c r="A932" s="31">
        <v>7271134</v>
      </c>
      <c r="B932" s="32">
        <v>23000</v>
      </c>
      <c r="C932" s="33" t="s">
        <v>180</v>
      </c>
      <c r="D932" s="33" t="s">
        <v>165</v>
      </c>
      <c r="E932" s="33" t="s">
        <v>166</v>
      </c>
      <c r="F932" s="33" t="s">
        <v>167</v>
      </c>
    </row>
    <row r="933" spans="1:6" ht="15" thickBot="1">
      <c r="A933" s="31">
        <v>7272647</v>
      </c>
      <c r="B933" s="32">
        <v>47500000</v>
      </c>
      <c r="C933" s="33" t="s">
        <v>177</v>
      </c>
      <c r="D933" s="33" t="s">
        <v>174</v>
      </c>
      <c r="E933" s="33" t="s">
        <v>166</v>
      </c>
      <c r="F933" s="33" t="s">
        <v>163</v>
      </c>
    </row>
    <row r="934" spans="1:6" ht="15" thickBot="1">
      <c r="A934" s="31">
        <v>7273248</v>
      </c>
      <c r="B934" s="32">
        <v>31000000</v>
      </c>
      <c r="C934" s="33" t="s">
        <v>206</v>
      </c>
      <c r="D934" s="33" t="s">
        <v>174</v>
      </c>
      <c r="E934" s="33" t="s">
        <v>166</v>
      </c>
      <c r="F934" s="33" t="s">
        <v>163</v>
      </c>
    </row>
    <row r="935" spans="1:6" ht="15" thickBot="1">
      <c r="A935" s="31">
        <v>7273255</v>
      </c>
      <c r="B935" s="32">
        <v>31500000</v>
      </c>
      <c r="C935" s="33" t="s">
        <v>177</v>
      </c>
      <c r="D935" s="33" t="s">
        <v>174</v>
      </c>
      <c r="E935" s="33" t="s">
        <v>166</v>
      </c>
      <c r="F935" s="33" t="s">
        <v>163</v>
      </c>
    </row>
    <row r="936" spans="1:6" ht="15" thickBot="1">
      <c r="A936" s="31">
        <v>7274873</v>
      </c>
      <c r="B936" s="32">
        <v>39000000</v>
      </c>
      <c r="C936" s="33" t="s">
        <v>177</v>
      </c>
      <c r="D936" s="33" t="s">
        <v>174</v>
      </c>
      <c r="E936" s="33" t="s">
        <v>166</v>
      </c>
      <c r="F936" s="33" t="s">
        <v>163</v>
      </c>
    </row>
    <row r="937" spans="1:6" ht="15" thickBot="1">
      <c r="A937" s="31">
        <v>7276277</v>
      </c>
      <c r="B937" s="32">
        <v>150000000</v>
      </c>
      <c r="C937" s="33" t="s">
        <v>345</v>
      </c>
      <c r="D937" s="33" t="s">
        <v>161</v>
      </c>
      <c r="E937" s="33" t="s">
        <v>162</v>
      </c>
      <c r="F937" s="33" t="s">
        <v>163</v>
      </c>
    </row>
    <row r="938" spans="1:6" ht="15" thickBot="1">
      <c r="A938" s="31">
        <v>7281641</v>
      </c>
      <c r="B938" s="32">
        <v>3500000</v>
      </c>
      <c r="C938" s="33" t="s">
        <v>285</v>
      </c>
      <c r="D938" s="33" t="s">
        <v>161</v>
      </c>
      <c r="E938" s="33" t="s">
        <v>162</v>
      </c>
      <c r="F938" s="33" t="s">
        <v>163</v>
      </c>
    </row>
    <row r="939" spans="1:6" ht="15" thickBot="1">
      <c r="A939" s="31">
        <v>7282254</v>
      </c>
      <c r="B939" s="32">
        <v>80000</v>
      </c>
      <c r="C939" s="33" t="s">
        <v>180</v>
      </c>
      <c r="D939" s="33" t="s">
        <v>165</v>
      </c>
      <c r="E939" s="33" t="s">
        <v>166</v>
      </c>
      <c r="F939" s="33" t="s">
        <v>167</v>
      </c>
    </row>
    <row r="940" spans="1:6" ht="29" thickBot="1">
      <c r="A940" s="31">
        <v>7286237</v>
      </c>
      <c r="B940" s="32">
        <v>13000000</v>
      </c>
      <c r="C940" s="33" t="s">
        <v>346</v>
      </c>
      <c r="D940" s="33" t="s">
        <v>200</v>
      </c>
      <c r="E940" s="33" t="s">
        <v>166</v>
      </c>
      <c r="F940" s="33" t="s">
        <v>163</v>
      </c>
    </row>
    <row r="941" spans="1:6" ht="15" thickBot="1">
      <c r="A941" s="31">
        <v>7286981</v>
      </c>
      <c r="B941" s="32">
        <v>75000</v>
      </c>
      <c r="C941" s="33" t="s">
        <v>180</v>
      </c>
      <c r="D941" s="33" t="s">
        <v>165</v>
      </c>
      <c r="E941" s="33" t="s">
        <v>166</v>
      </c>
      <c r="F941" s="33" t="s">
        <v>167</v>
      </c>
    </row>
    <row r="942" spans="1:6" ht="15" thickBot="1">
      <c r="A942" s="31">
        <v>7293895</v>
      </c>
      <c r="B942" s="32">
        <v>2200000</v>
      </c>
      <c r="C942" s="33" t="s">
        <v>347</v>
      </c>
      <c r="D942" s="33" t="s">
        <v>165</v>
      </c>
      <c r="E942" s="33" t="s">
        <v>166</v>
      </c>
      <c r="F942" s="33" t="s">
        <v>163</v>
      </c>
    </row>
    <row r="943" spans="1:6" ht="15" thickBot="1">
      <c r="A943" s="31">
        <v>7294473</v>
      </c>
      <c r="B943" s="32">
        <v>25000000</v>
      </c>
      <c r="C943" s="33" t="s">
        <v>262</v>
      </c>
      <c r="D943" s="33" t="s">
        <v>169</v>
      </c>
      <c r="E943" s="34" t="s">
        <v>170</v>
      </c>
      <c r="F943" s="33" t="s">
        <v>163</v>
      </c>
    </row>
    <row r="944" spans="1:6" ht="15" thickBot="1">
      <c r="A944" s="31">
        <v>7294756</v>
      </c>
      <c r="B944" s="32">
        <v>14000000</v>
      </c>
      <c r="C944" s="33" t="s">
        <v>205</v>
      </c>
      <c r="D944" s="33" t="s">
        <v>161</v>
      </c>
      <c r="E944" s="33" t="s">
        <v>162</v>
      </c>
      <c r="F944" s="33" t="s">
        <v>163</v>
      </c>
    </row>
    <row r="945" spans="1:6" ht="15" thickBot="1">
      <c r="A945" s="31">
        <v>7296371</v>
      </c>
      <c r="B945" s="32">
        <v>13000000</v>
      </c>
      <c r="C945" s="33" t="s">
        <v>348</v>
      </c>
      <c r="D945" s="33" t="s">
        <v>169</v>
      </c>
      <c r="E945" s="34" t="s">
        <v>170</v>
      </c>
      <c r="F945" s="33" t="s">
        <v>163</v>
      </c>
    </row>
    <row r="946" spans="1:6" ht="15" thickBot="1">
      <c r="A946" s="31">
        <v>7299328</v>
      </c>
      <c r="B946" s="32">
        <v>25000000</v>
      </c>
      <c r="C946" s="33" t="s">
        <v>177</v>
      </c>
      <c r="D946" s="33" t="s">
        <v>174</v>
      </c>
      <c r="E946" s="33" t="s">
        <v>166</v>
      </c>
      <c r="F946" s="33" t="s">
        <v>163</v>
      </c>
    </row>
    <row r="947" spans="1:6" ht="15" thickBot="1">
      <c r="A947" s="31">
        <v>7304403</v>
      </c>
      <c r="B947" s="32">
        <v>24000</v>
      </c>
      <c r="C947" s="33" t="s">
        <v>180</v>
      </c>
      <c r="D947" s="33" t="s">
        <v>165</v>
      </c>
      <c r="E947" s="33" t="s">
        <v>166</v>
      </c>
      <c r="F947" s="33" t="s">
        <v>167</v>
      </c>
    </row>
    <row r="948" spans="1:6" ht="15" thickBot="1">
      <c r="A948" s="31">
        <v>7311020</v>
      </c>
      <c r="B948" s="32">
        <v>165000000</v>
      </c>
      <c r="C948" s="33" t="s">
        <v>274</v>
      </c>
      <c r="D948" s="33" t="s">
        <v>169</v>
      </c>
      <c r="E948" s="34" t="s">
        <v>170</v>
      </c>
      <c r="F948" s="33" t="s">
        <v>163</v>
      </c>
    </row>
    <row r="949" spans="1:6" ht="15" thickBot="1">
      <c r="A949" s="31">
        <v>7311245</v>
      </c>
      <c r="B949" s="32">
        <v>200000</v>
      </c>
      <c r="C949" s="33" t="s">
        <v>198</v>
      </c>
      <c r="D949" s="33" t="s">
        <v>169</v>
      </c>
      <c r="E949" s="34" t="s">
        <v>170</v>
      </c>
      <c r="F949" s="33" t="s">
        <v>167</v>
      </c>
    </row>
    <row r="950" spans="1:6" ht="15" thickBot="1">
      <c r="A950" s="31">
        <v>7311305</v>
      </c>
      <c r="B950" s="32">
        <v>95000</v>
      </c>
      <c r="C950" s="33" t="s">
        <v>262</v>
      </c>
      <c r="D950" s="33" t="s">
        <v>169</v>
      </c>
      <c r="E950" s="34" t="s">
        <v>170</v>
      </c>
      <c r="F950" s="33" t="s">
        <v>167</v>
      </c>
    </row>
    <row r="951" spans="1:6" ht="15" thickBot="1">
      <c r="A951" s="31">
        <v>7311508</v>
      </c>
      <c r="B951" s="32">
        <v>100000</v>
      </c>
      <c r="C951" s="33" t="s">
        <v>199</v>
      </c>
      <c r="D951" s="33" t="s">
        <v>200</v>
      </c>
      <c r="E951" s="33" t="s">
        <v>166</v>
      </c>
      <c r="F951" s="33" t="s">
        <v>167</v>
      </c>
    </row>
    <row r="952" spans="1:6" ht="15" thickBot="1">
      <c r="A952" s="31">
        <v>7316027</v>
      </c>
      <c r="B952" s="32">
        <v>29000000</v>
      </c>
      <c r="C952" s="33" t="s">
        <v>177</v>
      </c>
      <c r="D952" s="33" t="s">
        <v>174</v>
      </c>
      <c r="E952" s="33" t="s">
        <v>166</v>
      </c>
      <c r="F952" s="33" t="s">
        <v>163</v>
      </c>
    </row>
    <row r="953" spans="1:6" ht="15" thickBot="1">
      <c r="A953" s="31">
        <v>7316775</v>
      </c>
      <c r="B953" s="32">
        <v>25000</v>
      </c>
      <c r="C953" s="33" t="s">
        <v>180</v>
      </c>
      <c r="D953" s="33" t="s">
        <v>165</v>
      </c>
      <c r="E953" s="33" t="s">
        <v>166</v>
      </c>
      <c r="F953" s="33" t="s">
        <v>167</v>
      </c>
    </row>
    <row r="954" spans="1:6" ht="15" thickBot="1">
      <c r="A954" s="31">
        <v>7316780</v>
      </c>
      <c r="B954" s="32">
        <v>25000</v>
      </c>
      <c r="C954" s="33" t="s">
        <v>180</v>
      </c>
      <c r="D954" s="33" t="s">
        <v>165</v>
      </c>
      <c r="E954" s="33" t="s">
        <v>166</v>
      </c>
      <c r="F954" s="33" t="s">
        <v>167</v>
      </c>
    </row>
    <row r="955" spans="1:6" ht="15" thickBot="1">
      <c r="A955" s="31">
        <v>7316782</v>
      </c>
      <c r="B955" s="32">
        <v>25000</v>
      </c>
      <c r="C955" s="33" t="s">
        <v>180</v>
      </c>
      <c r="D955" s="33" t="s">
        <v>165</v>
      </c>
      <c r="E955" s="33" t="s">
        <v>166</v>
      </c>
      <c r="F955" s="33" t="s">
        <v>167</v>
      </c>
    </row>
    <row r="956" spans="1:6" ht="15" thickBot="1">
      <c r="A956" s="31">
        <v>7318267</v>
      </c>
      <c r="B956" s="32">
        <v>19500000</v>
      </c>
      <c r="C956" s="33" t="s">
        <v>160</v>
      </c>
      <c r="D956" s="33" t="s">
        <v>174</v>
      </c>
      <c r="E956" s="33" t="s">
        <v>166</v>
      </c>
      <c r="F956" s="33" t="s">
        <v>163</v>
      </c>
    </row>
    <row r="957" spans="1:6" ht="15" thickBot="1">
      <c r="A957" s="31">
        <v>7324234</v>
      </c>
      <c r="B957" s="32">
        <v>43500000</v>
      </c>
      <c r="C957" s="33" t="s">
        <v>177</v>
      </c>
      <c r="D957" s="33" t="s">
        <v>174</v>
      </c>
      <c r="E957" s="33" t="s">
        <v>166</v>
      </c>
      <c r="F957" s="33" t="s">
        <v>163</v>
      </c>
    </row>
    <row r="958" spans="1:6" ht="15" thickBot="1">
      <c r="A958" s="31">
        <v>7325705</v>
      </c>
      <c r="B958" s="32">
        <v>32000000</v>
      </c>
      <c r="C958" s="33" t="s">
        <v>177</v>
      </c>
      <c r="D958" s="33" t="s">
        <v>174</v>
      </c>
      <c r="E958" s="33" t="s">
        <v>166</v>
      </c>
      <c r="F958" s="33" t="s">
        <v>163</v>
      </c>
    </row>
    <row r="959" spans="1:6" ht="15" thickBot="1">
      <c r="A959" s="31">
        <v>7325856</v>
      </c>
      <c r="B959" s="32">
        <v>11500000</v>
      </c>
      <c r="C959" s="33" t="s">
        <v>272</v>
      </c>
      <c r="D959" s="33" t="s">
        <v>161</v>
      </c>
      <c r="E959" s="33" t="s">
        <v>162</v>
      </c>
      <c r="F959" s="33" t="s">
        <v>163</v>
      </c>
    </row>
    <row r="960" spans="1:6" ht="29" thickBot="1">
      <c r="A960" s="31">
        <v>7327037</v>
      </c>
      <c r="B960" s="32">
        <v>250000</v>
      </c>
      <c r="C960" s="33" t="s">
        <v>349</v>
      </c>
      <c r="D960" s="33" t="s">
        <v>169</v>
      </c>
      <c r="E960" s="34" t="s">
        <v>170</v>
      </c>
      <c r="F960" s="33" t="s">
        <v>167</v>
      </c>
    </row>
    <row r="961" spans="1:6" ht="29" thickBot="1">
      <c r="A961" s="31">
        <v>7327046</v>
      </c>
      <c r="B961" s="32">
        <v>190000</v>
      </c>
      <c r="C961" s="33" t="s">
        <v>349</v>
      </c>
      <c r="D961" s="33" t="s">
        <v>169</v>
      </c>
      <c r="E961" s="34" t="s">
        <v>170</v>
      </c>
      <c r="F961" s="33" t="s">
        <v>167</v>
      </c>
    </row>
    <row r="962" spans="1:6" ht="15" thickBot="1">
      <c r="A962" s="31">
        <v>7327071</v>
      </c>
      <c r="B962" s="32">
        <v>16500000</v>
      </c>
      <c r="C962" s="33" t="s">
        <v>274</v>
      </c>
      <c r="D962" s="33" t="s">
        <v>169</v>
      </c>
      <c r="E962" s="34" t="s">
        <v>170</v>
      </c>
      <c r="F962" s="33" t="s">
        <v>163</v>
      </c>
    </row>
    <row r="963" spans="1:6" ht="15" thickBot="1">
      <c r="A963" s="31">
        <v>7327084</v>
      </c>
      <c r="B963" s="32">
        <v>140000</v>
      </c>
      <c r="C963" s="33" t="s">
        <v>274</v>
      </c>
      <c r="D963" s="33" t="s">
        <v>169</v>
      </c>
      <c r="E963" s="34" t="s">
        <v>170</v>
      </c>
      <c r="F963" s="33" t="s">
        <v>167</v>
      </c>
    </row>
    <row r="964" spans="1:6" ht="15" thickBot="1">
      <c r="A964" s="31">
        <v>7331840</v>
      </c>
      <c r="B964" s="32">
        <v>75000</v>
      </c>
      <c r="C964" s="33" t="s">
        <v>180</v>
      </c>
      <c r="D964" s="33" t="s">
        <v>165</v>
      </c>
      <c r="E964" s="33" t="s">
        <v>166</v>
      </c>
      <c r="F964" s="33" t="s">
        <v>167</v>
      </c>
    </row>
    <row r="965" spans="1:6" ht="15" thickBot="1">
      <c r="A965" s="31">
        <v>7336017</v>
      </c>
      <c r="B965" s="32">
        <v>23000</v>
      </c>
      <c r="C965" s="33" t="s">
        <v>180</v>
      </c>
      <c r="D965" s="33" t="s">
        <v>165</v>
      </c>
      <c r="E965" s="33" t="s">
        <v>166</v>
      </c>
      <c r="F965" s="33" t="s">
        <v>167</v>
      </c>
    </row>
    <row r="966" spans="1:6" ht="15" thickBot="1">
      <c r="A966" s="31">
        <v>7337207</v>
      </c>
      <c r="B966" s="32">
        <v>30000</v>
      </c>
      <c r="C966" s="33" t="s">
        <v>180</v>
      </c>
      <c r="D966" s="33" t="s">
        <v>165</v>
      </c>
      <c r="E966" s="33" t="s">
        <v>166</v>
      </c>
      <c r="F966" s="33" t="s">
        <v>167</v>
      </c>
    </row>
    <row r="967" spans="1:6" ht="15" thickBot="1">
      <c r="A967" s="31">
        <v>7347233</v>
      </c>
      <c r="B967" s="32">
        <v>38000</v>
      </c>
      <c r="C967" s="33" t="s">
        <v>180</v>
      </c>
      <c r="D967" s="33" t="s">
        <v>165</v>
      </c>
      <c r="E967" s="33" t="s">
        <v>166</v>
      </c>
      <c r="F967" s="33" t="s">
        <v>167</v>
      </c>
    </row>
    <row r="968" spans="1:6" ht="15" thickBot="1">
      <c r="A968" s="31">
        <v>7347234</v>
      </c>
      <c r="B968" s="32">
        <v>25000</v>
      </c>
      <c r="C968" s="33" t="s">
        <v>180</v>
      </c>
      <c r="D968" s="33" t="s">
        <v>165</v>
      </c>
      <c r="E968" s="33" t="s">
        <v>166</v>
      </c>
      <c r="F968" s="33" t="s">
        <v>167</v>
      </c>
    </row>
    <row r="969" spans="1:6" ht="15" thickBot="1">
      <c r="A969" s="31">
        <v>7347235</v>
      </c>
      <c r="B969" s="32">
        <v>40000</v>
      </c>
      <c r="C969" s="33" t="s">
        <v>180</v>
      </c>
      <c r="D969" s="33" t="s">
        <v>165</v>
      </c>
      <c r="E969" s="33" t="s">
        <v>166</v>
      </c>
      <c r="F969" s="33" t="s">
        <v>167</v>
      </c>
    </row>
    <row r="970" spans="1:6" ht="15" thickBot="1">
      <c r="A970" s="31">
        <v>7351068</v>
      </c>
      <c r="B970" s="32">
        <v>85000000</v>
      </c>
      <c r="C970" s="33" t="s">
        <v>262</v>
      </c>
      <c r="D970" s="33" t="s">
        <v>169</v>
      </c>
      <c r="E970" s="34" t="s">
        <v>170</v>
      </c>
      <c r="F970" s="33" t="s">
        <v>163</v>
      </c>
    </row>
    <row r="971" spans="1:6" ht="15" thickBot="1">
      <c r="A971" s="31">
        <v>7358139</v>
      </c>
      <c r="B971" s="32">
        <v>17500000</v>
      </c>
      <c r="C971" s="33" t="s">
        <v>204</v>
      </c>
      <c r="D971" s="33" t="s">
        <v>174</v>
      </c>
      <c r="E971" s="33" t="s">
        <v>166</v>
      </c>
      <c r="F971" s="33" t="s">
        <v>163</v>
      </c>
    </row>
    <row r="972" spans="1:6" ht="15" thickBot="1">
      <c r="A972" s="31">
        <v>7363077</v>
      </c>
      <c r="B972" s="32">
        <v>45000</v>
      </c>
      <c r="C972" s="33" t="s">
        <v>180</v>
      </c>
      <c r="D972" s="33" t="s">
        <v>165</v>
      </c>
      <c r="E972" s="33" t="s">
        <v>166</v>
      </c>
      <c r="F972" s="33" t="s">
        <v>167</v>
      </c>
    </row>
    <row r="973" spans="1:6" ht="15" thickBot="1">
      <c r="A973" s="31">
        <v>7365680</v>
      </c>
      <c r="B973" s="32">
        <v>200000</v>
      </c>
      <c r="C973" s="33" t="s">
        <v>196</v>
      </c>
      <c r="D973" s="33" t="s">
        <v>161</v>
      </c>
      <c r="E973" s="33" t="s">
        <v>162</v>
      </c>
      <c r="F973" s="33" t="s">
        <v>167</v>
      </c>
    </row>
    <row r="974" spans="1:6" ht="15" thickBot="1">
      <c r="A974" s="31">
        <v>7367176</v>
      </c>
      <c r="B974" s="32">
        <v>29500000</v>
      </c>
      <c r="C974" s="33" t="s">
        <v>274</v>
      </c>
      <c r="D974" s="33" t="s">
        <v>169</v>
      </c>
      <c r="E974" s="34" t="s">
        <v>170</v>
      </c>
      <c r="F974" s="33" t="s">
        <v>163</v>
      </c>
    </row>
    <row r="975" spans="1:6" ht="15" thickBot="1">
      <c r="A975" s="31">
        <v>7367996</v>
      </c>
      <c r="B975" s="32">
        <v>41700000</v>
      </c>
      <c r="C975" s="33" t="s">
        <v>177</v>
      </c>
      <c r="D975" s="33" t="s">
        <v>174</v>
      </c>
      <c r="E975" s="33" t="s">
        <v>166</v>
      </c>
      <c r="F975" s="33" t="s">
        <v>163</v>
      </c>
    </row>
    <row r="976" spans="1:6" ht="15" thickBot="1">
      <c r="A976" s="31">
        <v>7368603</v>
      </c>
      <c r="B976" s="32">
        <v>43000000</v>
      </c>
      <c r="C976" s="33" t="s">
        <v>180</v>
      </c>
      <c r="D976" s="33" t="s">
        <v>165</v>
      </c>
      <c r="E976" s="33" t="s">
        <v>166</v>
      </c>
      <c r="F976" s="33" t="s">
        <v>163</v>
      </c>
    </row>
    <row r="977" spans="1:6" ht="15" thickBot="1">
      <c r="A977" s="31">
        <v>7392689</v>
      </c>
      <c r="B977" s="32">
        <v>23000</v>
      </c>
      <c r="C977" s="33" t="s">
        <v>180</v>
      </c>
      <c r="D977" s="33" t="s">
        <v>165</v>
      </c>
      <c r="E977" s="33" t="s">
        <v>166</v>
      </c>
      <c r="F977" s="33" t="s">
        <v>167</v>
      </c>
    </row>
    <row r="978" spans="1:6" ht="15" thickBot="1">
      <c r="A978" s="31">
        <v>7395262</v>
      </c>
      <c r="B978" s="32">
        <v>18000</v>
      </c>
      <c r="C978" s="33" t="s">
        <v>180</v>
      </c>
      <c r="D978" s="33" t="s">
        <v>165</v>
      </c>
      <c r="E978" s="33" t="s">
        <v>166</v>
      </c>
      <c r="F978" s="33" t="s">
        <v>167</v>
      </c>
    </row>
    <row r="979" spans="1:6" ht="15" thickBot="1">
      <c r="A979" s="31">
        <v>7395853</v>
      </c>
      <c r="B979" s="32">
        <v>17000000</v>
      </c>
      <c r="C979" s="33" t="s">
        <v>263</v>
      </c>
      <c r="D979" s="33" t="s">
        <v>161</v>
      </c>
      <c r="E979" s="33" t="s">
        <v>162</v>
      </c>
      <c r="F979" s="33" t="s">
        <v>163</v>
      </c>
    </row>
    <row r="980" spans="1:6" ht="15" thickBot="1">
      <c r="A980" s="31">
        <v>7396739</v>
      </c>
      <c r="B980" s="32">
        <v>7500000</v>
      </c>
      <c r="C980" s="33" t="s">
        <v>183</v>
      </c>
      <c r="D980" s="33" t="s">
        <v>169</v>
      </c>
      <c r="E980" s="34" t="s">
        <v>170</v>
      </c>
      <c r="F980" s="33" t="s">
        <v>163</v>
      </c>
    </row>
    <row r="981" spans="1:6" ht="15" thickBot="1">
      <c r="A981" s="31">
        <v>7398013</v>
      </c>
      <c r="B981" s="32">
        <v>10000000</v>
      </c>
      <c r="C981" s="33" t="s">
        <v>201</v>
      </c>
      <c r="D981" s="33" t="s">
        <v>169</v>
      </c>
      <c r="E981" s="34" t="s">
        <v>170</v>
      </c>
      <c r="F981" s="33" t="s">
        <v>163</v>
      </c>
    </row>
    <row r="982" spans="1:6" ht="15" thickBot="1">
      <c r="A982" s="31">
        <v>7403849</v>
      </c>
      <c r="B982" s="32">
        <v>240000</v>
      </c>
      <c r="C982" s="33" t="s">
        <v>345</v>
      </c>
      <c r="D982" s="33" t="s">
        <v>161</v>
      </c>
      <c r="E982" s="33" t="s">
        <v>162</v>
      </c>
      <c r="F982" s="33" t="s">
        <v>167</v>
      </c>
    </row>
    <row r="983" spans="1:6" ht="15" thickBot="1">
      <c r="A983" s="31">
        <v>7403855</v>
      </c>
      <c r="B983" s="32">
        <v>25000000</v>
      </c>
      <c r="C983" s="33" t="s">
        <v>287</v>
      </c>
      <c r="D983" s="33" t="s">
        <v>165</v>
      </c>
      <c r="E983" s="33" t="s">
        <v>166</v>
      </c>
      <c r="F983" s="33" t="s">
        <v>163</v>
      </c>
    </row>
    <row r="984" spans="1:6" ht="15" thickBot="1">
      <c r="A984" s="31">
        <v>7415422</v>
      </c>
      <c r="B984" s="32">
        <v>7500000</v>
      </c>
      <c r="C984" s="33" t="s">
        <v>196</v>
      </c>
      <c r="D984" s="33" t="s">
        <v>161</v>
      </c>
      <c r="E984" s="33" t="s">
        <v>162</v>
      </c>
      <c r="F984" s="33" t="s">
        <v>163</v>
      </c>
    </row>
    <row r="985" spans="1:6" ht="15" thickBot="1">
      <c r="A985" s="31">
        <v>7418387</v>
      </c>
      <c r="B985" s="32">
        <v>32000</v>
      </c>
      <c r="C985" s="33" t="s">
        <v>180</v>
      </c>
      <c r="D985" s="33" t="s">
        <v>165</v>
      </c>
      <c r="E985" s="33" t="s">
        <v>166</v>
      </c>
      <c r="F985" s="33" t="s">
        <v>167</v>
      </c>
    </row>
    <row r="986" spans="1:6" ht="15" thickBot="1">
      <c r="A986" s="31">
        <v>7418732</v>
      </c>
      <c r="B986" s="32">
        <v>18000000</v>
      </c>
      <c r="C986" s="33" t="s">
        <v>284</v>
      </c>
      <c r="D986" s="33" t="s">
        <v>174</v>
      </c>
      <c r="E986" s="33" t="s">
        <v>166</v>
      </c>
      <c r="F986" s="33" t="s">
        <v>163</v>
      </c>
    </row>
    <row r="987" spans="1:6" ht="15" thickBot="1">
      <c r="A987" s="31">
        <v>7418746</v>
      </c>
      <c r="B987" s="32">
        <v>37000</v>
      </c>
      <c r="C987" s="33" t="s">
        <v>180</v>
      </c>
      <c r="D987" s="33" t="s">
        <v>165</v>
      </c>
      <c r="E987" s="33" t="s">
        <v>166</v>
      </c>
      <c r="F987" s="33" t="s">
        <v>167</v>
      </c>
    </row>
    <row r="988" spans="1:6" ht="15" thickBot="1">
      <c r="A988" s="31">
        <v>7425931</v>
      </c>
      <c r="B988" s="32">
        <v>5500000</v>
      </c>
      <c r="C988" s="33" t="s">
        <v>350</v>
      </c>
      <c r="D988" s="33" t="s">
        <v>174</v>
      </c>
      <c r="E988" s="33" t="s">
        <v>166</v>
      </c>
      <c r="F988" s="33" t="s">
        <v>163</v>
      </c>
    </row>
    <row r="989" spans="1:6" ht="15" thickBot="1">
      <c r="A989" s="31">
        <v>7426138</v>
      </c>
      <c r="B989" s="32">
        <v>9500000</v>
      </c>
      <c r="C989" s="33" t="s">
        <v>351</v>
      </c>
      <c r="D989" s="33" t="s">
        <v>165</v>
      </c>
      <c r="E989" s="33" t="s">
        <v>166</v>
      </c>
      <c r="F989" s="33" t="s">
        <v>163</v>
      </c>
    </row>
    <row r="990" spans="1:6" ht="15" thickBot="1">
      <c r="A990" s="31">
        <v>7426397</v>
      </c>
      <c r="B990" s="32">
        <v>80000</v>
      </c>
      <c r="C990" s="33" t="s">
        <v>180</v>
      </c>
      <c r="D990" s="33" t="s">
        <v>165</v>
      </c>
      <c r="E990" s="33" t="s">
        <v>166</v>
      </c>
      <c r="F990" s="33" t="s">
        <v>167</v>
      </c>
    </row>
    <row r="991" spans="1:6" ht="15" thickBot="1">
      <c r="A991" s="31">
        <v>7430314</v>
      </c>
      <c r="B991" s="32">
        <v>10000000</v>
      </c>
      <c r="C991" s="33" t="s">
        <v>201</v>
      </c>
      <c r="D991" s="33" t="s">
        <v>169</v>
      </c>
      <c r="E991" s="34" t="s">
        <v>170</v>
      </c>
      <c r="F991" s="33" t="s">
        <v>163</v>
      </c>
    </row>
    <row r="992" spans="1:6" ht="15" thickBot="1">
      <c r="A992" s="31">
        <v>7437922</v>
      </c>
      <c r="B992" s="32">
        <v>31100000</v>
      </c>
      <c r="C992" s="33" t="s">
        <v>274</v>
      </c>
      <c r="D992" s="33" t="s">
        <v>169</v>
      </c>
      <c r="E992" s="34" t="s">
        <v>170</v>
      </c>
      <c r="F992" s="33" t="s">
        <v>163</v>
      </c>
    </row>
    <row r="993" spans="1:6" ht="15" thickBot="1">
      <c r="A993" s="31">
        <v>7438679</v>
      </c>
      <c r="B993" s="32">
        <v>110000000</v>
      </c>
      <c r="C993" s="33" t="s">
        <v>274</v>
      </c>
      <c r="D993" s="33" t="s">
        <v>169</v>
      </c>
      <c r="E993" s="34" t="s">
        <v>170</v>
      </c>
      <c r="F993" s="33" t="s">
        <v>163</v>
      </c>
    </row>
    <row r="994" spans="1:6" ht="15" thickBot="1">
      <c r="A994" s="31">
        <v>7440461</v>
      </c>
      <c r="B994" s="32">
        <v>20000</v>
      </c>
      <c r="C994" s="33" t="s">
        <v>180</v>
      </c>
      <c r="D994" s="33" t="s">
        <v>165</v>
      </c>
      <c r="E994" s="33" t="s">
        <v>166</v>
      </c>
      <c r="F994" s="33" t="s">
        <v>167</v>
      </c>
    </row>
    <row r="995" spans="1:6" ht="15" thickBot="1">
      <c r="A995" s="31">
        <v>7455407</v>
      </c>
      <c r="B995" s="32">
        <v>23000</v>
      </c>
      <c r="C995" s="33" t="s">
        <v>180</v>
      </c>
      <c r="D995" s="33" t="s">
        <v>165</v>
      </c>
      <c r="E995" s="33" t="s">
        <v>166</v>
      </c>
      <c r="F995" s="33" t="s">
        <v>167</v>
      </c>
    </row>
    <row r="996" spans="1:6" ht="15" thickBot="1">
      <c r="A996" s="31">
        <v>7456101</v>
      </c>
      <c r="B996" s="32">
        <v>24000000</v>
      </c>
      <c r="C996" s="33" t="s">
        <v>206</v>
      </c>
      <c r="D996" s="33" t="s">
        <v>174</v>
      </c>
      <c r="E996" s="33" t="s">
        <v>166</v>
      </c>
      <c r="F996" s="33" t="s">
        <v>163</v>
      </c>
    </row>
    <row r="997" spans="1:6" ht="15" thickBot="1">
      <c r="A997" s="31">
        <v>7456156</v>
      </c>
      <c r="B997" s="32">
        <v>40000</v>
      </c>
      <c r="C997" s="33" t="s">
        <v>180</v>
      </c>
      <c r="D997" s="33" t="s">
        <v>165</v>
      </c>
      <c r="E997" s="33" t="s">
        <v>166</v>
      </c>
      <c r="F997" s="33" t="s">
        <v>167</v>
      </c>
    </row>
    <row r="998" spans="1:6" ht="15" thickBot="1">
      <c r="A998" s="31">
        <v>7456157</v>
      </c>
      <c r="B998" s="32">
        <v>25000</v>
      </c>
      <c r="C998" s="33" t="s">
        <v>180</v>
      </c>
      <c r="D998" s="33" t="s">
        <v>165</v>
      </c>
      <c r="E998" s="33" t="s">
        <v>166</v>
      </c>
      <c r="F998" s="33" t="s">
        <v>167</v>
      </c>
    </row>
    <row r="999" spans="1:6" ht="15" thickBot="1">
      <c r="A999" s="31">
        <v>7456158</v>
      </c>
      <c r="B999" s="32">
        <v>35000</v>
      </c>
      <c r="C999" s="33" t="s">
        <v>180</v>
      </c>
      <c r="D999" s="33" t="s">
        <v>165</v>
      </c>
      <c r="E999" s="33" t="s">
        <v>166</v>
      </c>
      <c r="F999" s="33" t="s">
        <v>167</v>
      </c>
    </row>
    <row r="1000" spans="1:6" ht="15" thickBot="1">
      <c r="A1000" s="31">
        <v>7456159</v>
      </c>
      <c r="B1000" s="32">
        <v>75000</v>
      </c>
      <c r="C1000" s="33" t="s">
        <v>180</v>
      </c>
      <c r="D1000" s="33" t="s">
        <v>165</v>
      </c>
      <c r="E1000" s="33" t="s">
        <v>166</v>
      </c>
      <c r="F1000" s="33" t="s">
        <v>167</v>
      </c>
    </row>
    <row r="1001" spans="1:6" ht="15" thickBot="1">
      <c r="A1001" s="31">
        <v>7456160</v>
      </c>
      <c r="B1001" s="32">
        <v>30000</v>
      </c>
      <c r="C1001" s="33" t="s">
        <v>180</v>
      </c>
      <c r="D1001" s="33" t="s">
        <v>165</v>
      </c>
      <c r="E1001" s="33" t="s">
        <v>166</v>
      </c>
      <c r="F1001" s="33" t="s">
        <v>167</v>
      </c>
    </row>
    <row r="1002" spans="1:6" ht="15" thickBot="1">
      <c r="A1002" s="31">
        <v>7456161</v>
      </c>
      <c r="B1002" s="32">
        <v>45000</v>
      </c>
      <c r="C1002" s="33" t="s">
        <v>180</v>
      </c>
      <c r="D1002" s="33" t="s">
        <v>165</v>
      </c>
      <c r="E1002" s="33" t="s">
        <v>166</v>
      </c>
      <c r="F1002" s="33" t="s">
        <v>167</v>
      </c>
    </row>
    <row r="1003" spans="1:6" ht="15" thickBot="1">
      <c r="A1003" s="31">
        <v>7458762</v>
      </c>
      <c r="B1003" s="32">
        <v>4500000</v>
      </c>
      <c r="C1003" s="33" t="s">
        <v>171</v>
      </c>
      <c r="D1003" s="33" t="s">
        <v>161</v>
      </c>
      <c r="E1003" s="33" t="s">
        <v>162</v>
      </c>
      <c r="F1003" s="33" t="s">
        <v>163</v>
      </c>
    </row>
    <row r="1004" spans="1:6" ht="15" thickBot="1">
      <c r="A1004" s="31">
        <v>7458764</v>
      </c>
      <c r="B1004" s="32">
        <v>2500000</v>
      </c>
      <c r="C1004" s="33" t="s">
        <v>171</v>
      </c>
      <c r="D1004" s="33" t="s">
        <v>161</v>
      </c>
      <c r="E1004" s="33" t="s">
        <v>162</v>
      </c>
      <c r="F1004" s="33" t="s">
        <v>163</v>
      </c>
    </row>
    <row r="1005" spans="1:6" ht="15" thickBot="1">
      <c r="A1005" s="31">
        <v>7461945</v>
      </c>
      <c r="B1005" s="32">
        <v>14000000</v>
      </c>
      <c r="C1005" s="33" t="s">
        <v>180</v>
      </c>
      <c r="D1005" s="33" t="s">
        <v>165</v>
      </c>
      <c r="E1005" s="33" t="s">
        <v>166</v>
      </c>
      <c r="F1005" s="33" t="s">
        <v>163</v>
      </c>
    </row>
    <row r="1006" spans="1:6" ht="15" thickBot="1">
      <c r="A1006" s="31">
        <v>7462078</v>
      </c>
      <c r="B1006" s="32">
        <v>40000</v>
      </c>
      <c r="C1006" s="33" t="s">
        <v>180</v>
      </c>
      <c r="D1006" s="33" t="s">
        <v>165</v>
      </c>
      <c r="E1006" s="33" t="s">
        <v>166</v>
      </c>
      <c r="F1006" s="33" t="s">
        <v>167</v>
      </c>
    </row>
    <row r="1007" spans="1:6" ht="15" thickBot="1">
      <c r="A1007" s="31">
        <v>7464719</v>
      </c>
      <c r="B1007" s="32">
        <v>10500000</v>
      </c>
      <c r="C1007" s="33" t="s">
        <v>196</v>
      </c>
      <c r="D1007" s="33" t="s">
        <v>161</v>
      </c>
      <c r="E1007" s="33" t="s">
        <v>162</v>
      </c>
      <c r="F1007" s="33" t="s">
        <v>163</v>
      </c>
    </row>
    <row r="1008" spans="1:6" ht="15" thickBot="1">
      <c r="A1008" s="31">
        <v>7466624</v>
      </c>
      <c r="B1008" s="32">
        <v>8200000</v>
      </c>
      <c r="C1008" s="33" t="s">
        <v>342</v>
      </c>
      <c r="D1008" s="33" t="s">
        <v>174</v>
      </c>
      <c r="E1008" s="33" t="s">
        <v>166</v>
      </c>
      <c r="F1008" s="33" t="s">
        <v>163</v>
      </c>
    </row>
    <row r="1009" spans="1:6" ht="15" thickBot="1">
      <c r="A1009" s="31">
        <v>7467683</v>
      </c>
      <c r="B1009" s="32">
        <v>38000</v>
      </c>
      <c r="C1009" s="33" t="s">
        <v>309</v>
      </c>
      <c r="D1009" s="33" t="s">
        <v>165</v>
      </c>
      <c r="E1009" s="33" t="s">
        <v>166</v>
      </c>
      <c r="F1009" s="33" t="s">
        <v>167</v>
      </c>
    </row>
    <row r="1010" spans="1:6" ht="29" thickBot="1">
      <c r="A1010" s="31">
        <v>7472080</v>
      </c>
      <c r="B1010" s="32">
        <v>4666000</v>
      </c>
      <c r="C1010" s="33" t="s">
        <v>286</v>
      </c>
      <c r="D1010" s="33" t="s">
        <v>161</v>
      </c>
      <c r="E1010" s="33" t="s">
        <v>162</v>
      </c>
      <c r="F1010" s="33" t="s">
        <v>163</v>
      </c>
    </row>
    <row r="1011" spans="1:6" ht="29" thickBot="1">
      <c r="A1011" s="31">
        <v>7472568</v>
      </c>
      <c r="B1011" s="32">
        <v>7960000</v>
      </c>
      <c r="C1011" s="33" t="s">
        <v>286</v>
      </c>
      <c r="D1011" s="33" t="s">
        <v>161</v>
      </c>
      <c r="E1011" s="33" t="s">
        <v>162</v>
      </c>
      <c r="F1011" s="33" t="s">
        <v>163</v>
      </c>
    </row>
    <row r="1012" spans="1:6" ht="29" thickBot="1">
      <c r="A1012" s="31">
        <v>7472876</v>
      </c>
      <c r="B1012" s="32">
        <v>10100000</v>
      </c>
      <c r="C1012" s="33" t="s">
        <v>286</v>
      </c>
      <c r="D1012" s="33" t="s">
        <v>161</v>
      </c>
      <c r="E1012" s="33" t="s">
        <v>162</v>
      </c>
      <c r="F1012" s="33" t="s">
        <v>163</v>
      </c>
    </row>
    <row r="1013" spans="1:6" ht="29" thickBot="1">
      <c r="A1013" s="31">
        <v>7473851</v>
      </c>
      <c r="B1013" s="32">
        <v>3763000</v>
      </c>
      <c r="C1013" s="33" t="s">
        <v>286</v>
      </c>
      <c r="D1013" s="33" t="s">
        <v>161</v>
      </c>
      <c r="E1013" s="33" t="s">
        <v>162</v>
      </c>
      <c r="F1013" s="33" t="s">
        <v>163</v>
      </c>
    </row>
    <row r="1014" spans="1:6" ht="29" thickBot="1">
      <c r="A1014" s="31">
        <v>7474055</v>
      </c>
      <c r="B1014" s="32">
        <v>4090000</v>
      </c>
      <c r="C1014" s="33" t="s">
        <v>286</v>
      </c>
      <c r="D1014" s="33" t="s">
        <v>161</v>
      </c>
      <c r="E1014" s="33" t="s">
        <v>162</v>
      </c>
      <c r="F1014" s="33" t="s">
        <v>163</v>
      </c>
    </row>
    <row r="1015" spans="1:6" ht="29" thickBot="1">
      <c r="A1015" s="31">
        <v>7475272</v>
      </c>
      <c r="B1015" s="32">
        <v>4797000</v>
      </c>
      <c r="C1015" s="33" t="s">
        <v>286</v>
      </c>
      <c r="D1015" s="33" t="s">
        <v>161</v>
      </c>
      <c r="E1015" s="33" t="s">
        <v>162</v>
      </c>
      <c r="F1015" s="33" t="s">
        <v>163</v>
      </c>
    </row>
    <row r="1016" spans="1:6" ht="29" thickBot="1">
      <c r="A1016" s="31">
        <v>7475286</v>
      </c>
      <c r="B1016" s="32">
        <v>5136000</v>
      </c>
      <c r="C1016" s="33" t="s">
        <v>286</v>
      </c>
      <c r="D1016" s="33" t="s">
        <v>161</v>
      </c>
      <c r="E1016" s="33" t="s">
        <v>162</v>
      </c>
      <c r="F1016" s="33" t="s">
        <v>163</v>
      </c>
    </row>
    <row r="1017" spans="1:6" ht="15" thickBot="1">
      <c r="A1017" s="31">
        <v>7475440</v>
      </c>
      <c r="B1017" s="32">
        <v>77500000</v>
      </c>
      <c r="C1017" s="33" t="s">
        <v>263</v>
      </c>
      <c r="D1017" s="33" t="s">
        <v>161</v>
      </c>
      <c r="E1017" s="33" t="s">
        <v>162</v>
      </c>
      <c r="F1017" s="33" t="s">
        <v>163</v>
      </c>
    </row>
    <row r="1018" spans="1:6" ht="15" thickBot="1">
      <c r="A1018" s="31">
        <v>7480412</v>
      </c>
      <c r="B1018" s="32">
        <v>110000000</v>
      </c>
      <c r="C1018" s="33" t="s">
        <v>222</v>
      </c>
      <c r="D1018" s="33" t="s">
        <v>174</v>
      </c>
      <c r="E1018" s="33" t="s">
        <v>166</v>
      </c>
      <c r="F1018" s="33" t="s">
        <v>163</v>
      </c>
    </row>
    <row r="1019" spans="1:6" ht="15" thickBot="1">
      <c r="A1019" s="31">
        <v>7486831</v>
      </c>
      <c r="B1019" s="32">
        <v>19000000</v>
      </c>
      <c r="C1019" s="33" t="s">
        <v>352</v>
      </c>
      <c r="D1019" s="33" t="s">
        <v>174</v>
      </c>
      <c r="E1019" s="33" t="s">
        <v>166</v>
      </c>
      <c r="F1019" s="33" t="s">
        <v>163</v>
      </c>
    </row>
    <row r="1020" spans="1:6" ht="15" thickBot="1">
      <c r="A1020" s="31">
        <v>7487644</v>
      </c>
      <c r="B1020" s="32">
        <v>57500000</v>
      </c>
      <c r="C1020" s="33" t="s">
        <v>182</v>
      </c>
      <c r="D1020" s="33" t="s">
        <v>174</v>
      </c>
      <c r="E1020" s="33" t="s">
        <v>166</v>
      </c>
      <c r="F1020" s="33" t="s">
        <v>163</v>
      </c>
    </row>
    <row r="1021" spans="1:6" ht="15" thickBot="1">
      <c r="A1021" s="31">
        <v>7490332</v>
      </c>
      <c r="B1021" s="32">
        <v>30000</v>
      </c>
      <c r="C1021" s="33" t="s">
        <v>180</v>
      </c>
      <c r="D1021" s="33" t="s">
        <v>165</v>
      </c>
      <c r="E1021" s="33" t="s">
        <v>166</v>
      </c>
      <c r="F1021" s="33" t="s">
        <v>167</v>
      </c>
    </row>
    <row r="1022" spans="1:6" ht="15" thickBot="1">
      <c r="A1022" s="31">
        <v>7495527</v>
      </c>
      <c r="B1022" s="32">
        <v>5900000</v>
      </c>
      <c r="C1022" s="33" t="s">
        <v>205</v>
      </c>
      <c r="D1022" s="33" t="s">
        <v>161</v>
      </c>
      <c r="E1022" s="33" t="s">
        <v>162</v>
      </c>
      <c r="F1022" s="33" t="s">
        <v>163</v>
      </c>
    </row>
    <row r="1023" spans="1:6" ht="15" thickBot="1">
      <c r="A1023" s="31">
        <v>7498600</v>
      </c>
      <c r="B1023" s="32">
        <v>9000000</v>
      </c>
      <c r="C1023" s="33" t="s">
        <v>353</v>
      </c>
      <c r="D1023" s="33" t="s">
        <v>174</v>
      </c>
      <c r="E1023" s="33" t="s">
        <v>166</v>
      </c>
      <c r="F1023" s="33" t="s">
        <v>163</v>
      </c>
    </row>
    <row r="1024" spans="1:6" ht="15" thickBot="1">
      <c r="A1024" s="31">
        <v>7499239</v>
      </c>
      <c r="B1024" s="32">
        <v>23500000</v>
      </c>
      <c r="C1024" s="33" t="s">
        <v>177</v>
      </c>
      <c r="D1024" s="33" t="s">
        <v>174</v>
      </c>
      <c r="E1024" s="33" t="s">
        <v>166</v>
      </c>
      <c r="F1024" s="33" t="s">
        <v>163</v>
      </c>
    </row>
    <row r="1025" spans="1:6" ht="15" thickBot="1">
      <c r="A1025" s="31">
        <v>7502957</v>
      </c>
      <c r="B1025" s="32">
        <v>150000</v>
      </c>
      <c r="C1025" s="33" t="s">
        <v>177</v>
      </c>
      <c r="D1025" s="33" t="s">
        <v>161</v>
      </c>
      <c r="E1025" s="33" t="s">
        <v>162</v>
      </c>
      <c r="F1025" s="33" t="s">
        <v>167</v>
      </c>
    </row>
    <row r="1026" spans="1:6" ht="15" thickBot="1">
      <c r="A1026" s="31">
        <v>7503084</v>
      </c>
      <c r="B1026" s="32">
        <v>200000</v>
      </c>
      <c r="C1026" s="33" t="s">
        <v>177</v>
      </c>
      <c r="D1026" s="33" t="s">
        <v>161</v>
      </c>
      <c r="E1026" s="33" t="s">
        <v>162</v>
      </c>
      <c r="F1026" s="33" t="s">
        <v>167</v>
      </c>
    </row>
    <row r="1027" spans="1:6" ht="15" thickBot="1">
      <c r="A1027" s="31">
        <v>7503204</v>
      </c>
      <c r="B1027" s="32">
        <v>4500000</v>
      </c>
      <c r="C1027" s="33" t="s">
        <v>279</v>
      </c>
      <c r="D1027" s="33" t="s">
        <v>161</v>
      </c>
      <c r="E1027" s="33" t="s">
        <v>162</v>
      </c>
      <c r="F1027" s="33" t="s">
        <v>163</v>
      </c>
    </row>
    <row r="1028" spans="1:6" ht="15" thickBot="1">
      <c r="A1028" s="31">
        <v>7507867</v>
      </c>
      <c r="B1028" s="32">
        <v>15000000</v>
      </c>
      <c r="C1028" s="33" t="s">
        <v>269</v>
      </c>
      <c r="D1028" s="33" t="s">
        <v>174</v>
      </c>
      <c r="E1028" s="33" t="s">
        <v>166</v>
      </c>
      <c r="F1028" s="33" t="s">
        <v>163</v>
      </c>
    </row>
    <row r="1029" spans="1:6" ht="15" thickBot="1">
      <c r="A1029" s="31">
        <v>7514041</v>
      </c>
      <c r="B1029" s="32">
        <v>35000000</v>
      </c>
      <c r="C1029" s="33" t="s">
        <v>225</v>
      </c>
      <c r="D1029" s="33" t="s">
        <v>165</v>
      </c>
      <c r="E1029" s="33" t="s">
        <v>166</v>
      </c>
      <c r="F1029" s="33" t="s">
        <v>163</v>
      </c>
    </row>
    <row r="1030" spans="1:6" ht="15" thickBot="1">
      <c r="A1030" s="31">
        <v>7514353</v>
      </c>
      <c r="B1030" s="32">
        <v>40000</v>
      </c>
      <c r="C1030" s="33" t="s">
        <v>196</v>
      </c>
      <c r="D1030" s="33" t="s">
        <v>161</v>
      </c>
      <c r="E1030" s="33" t="s">
        <v>162</v>
      </c>
      <c r="F1030" s="33" t="s">
        <v>167</v>
      </c>
    </row>
    <row r="1031" spans="1:6" ht="15" thickBot="1">
      <c r="A1031" s="31">
        <v>7514602</v>
      </c>
      <c r="B1031" s="32">
        <v>27500000</v>
      </c>
      <c r="C1031" s="33" t="s">
        <v>272</v>
      </c>
      <c r="D1031" s="33" t="s">
        <v>161</v>
      </c>
      <c r="E1031" s="33" t="s">
        <v>162</v>
      </c>
      <c r="F1031" s="33" t="s">
        <v>163</v>
      </c>
    </row>
    <row r="1032" spans="1:6" ht="15" thickBot="1">
      <c r="A1032" s="31">
        <v>7516155</v>
      </c>
      <c r="B1032" s="32">
        <v>12000000</v>
      </c>
      <c r="C1032" s="33" t="s">
        <v>171</v>
      </c>
      <c r="D1032" s="33" t="s">
        <v>161</v>
      </c>
      <c r="E1032" s="33" t="s">
        <v>162</v>
      </c>
      <c r="F1032" s="33" t="s">
        <v>163</v>
      </c>
    </row>
    <row r="1033" spans="1:6" ht="15" thickBot="1">
      <c r="A1033" s="31">
        <v>7516301</v>
      </c>
      <c r="B1033" s="32">
        <v>47500000</v>
      </c>
      <c r="C1033" s="33" t="s">
        <v>251</v>
      </c>
      <c r="D1033" s="33" t="s">
        <v>174</v>
      </c>
      <c r="E1033" s="33" t="s">
        <v>166</v>
      </c>
      <c r="F1033" s="33" t="s">
        <v>163</v>
      </c>
    </row>
    <row r="1034" spans="1:6" ht="15" thickBot="1">
      <c r="A1034" s="31">
        <v>7533729</v>
      </c>
      <c r="B1034" s="32">
        <v>9500000</v>
      </c>
      <c r="C1034" s="33" t="s">
        <v>232</v>
      </c>
      <c r="D1034" s="33" t="s">
        <v>169</v>
      </c>
      <c r="E1034" s="34" t="s">
        <v>170</v>
      </c>
      <c r="F1034" s="33" t="s">
        <v>163</v>
      </c>
    </row>
    <row r="1035" spans="1:6" ht="15" thickBot="1">
      <c r="A1035" s="31">
        <v>7534046</v>
      </c>
      <c r="B1035" s="32">
        <v>92500000</v>
      </c>
      <c r="C1035" s="33" t="s">
        <v>177</v>
      </c>
      <c r="D1035" s="33" t="s">
        <v>161</v>
      </c>
      <c r="E1035" s="33" t="s">
        <v>162</v>
      </c>
      <c r="F1035" s="33" t="s">
        <v>163</v>
      </c>
    </row>
    <row r="1036" spans="1:6" ht="15" thickBot="1">
      <c r="A1036" s="31">
        <v>7537805</v>
      </c>
      <c r="B1036" s="32">
        <v>13700000</v>
      </c>
      <c r="C1036" s="33" t="s">
        <v>272</v>
      </c>
      <c r="D1036" s="33" t="s">
        <v>161</v>
      </c>
      <c r="E1036" s="33" t="s">
        <v>162</v>
      </c>
      <c r="F1036" s="33" t="s">
        <v>163</v>
      </c>
    </row>
    <row r="1037" spans="1:6" ht="15" thickBot="1">
      <c r="A1037" s="31">
        <v>7539518</v>
      </c>
      <c r="B1037" s="32">
        <v>12500000</v>
      </c>
      <c r="C1037" s="33" t="s">
        <v>177</v>
      </c>
      <c r="D1037" s="33" t="s">
        <v>169</v>
      </c>
      <c r="E1037" s="34" t="s">
        <v>170</v>
      </c>
      <c r="F1037" s="33" t="s">
        <v>163</v>
      </c>
    </row>
    <row r="1038" spans="1:6" ht="15" thickBot="1">
      <c r="A1038" s="31">
        <v>7539563</v>
      </c>
      <c r="B1038" s="32">
        <v>32000000</v>
      </c>
      <c r="C1038" s="33" t="s">
        <v>160</v>
      </c>
      <c r="D1038" s="33" t="s">
        <v>161</v>
      </c>
      <c r="E1038" s="33" t="s">
        <v>162</v>
      </c>
      <c r="F1038" s="33" t="s">
        <v>163</v>
      </c>
    </row>
    <row r="1039" spans="1:6" ht="15" thickBot="1">
      <c r="A1039" s="31">
        <v>7541139</v>
      </c>
      <c r="B1039" s="32">
        <v>5100000</v>
      </c>
      <c r="C1039" s="33" t="s">
        <v>272</v>
      </c>
      <c r="D1039" s="33" t="s">
        <v>161</v>
      </c>
      <c r="E1039" s="33" t="s">
        <v>162</v>
      </c>
      <c r="F1039" s="33" t="s">
        <v>163</v>
      </c>
    </row>
    <row r="1040" spans="1:6" ht="15" thickBot="1">
      <c r="A1040" s="31">
        <v>7542221</v>
      </c>
      <c r="B1040" s="32">
        <v>35000000</v>
      </c>
      <c r="C1040" s="33" t="s">
        <v>181</v>
      </c>
      <c r="D1040" s="33" t="s">
        <v>174</v>
      </c>
      <c r="E1040" s="33" t="s">
        <v>166</v>
      </c>
      <c r="F1040" s="33" t="s">
        <v>163</v>
      </c>
    </row>
    <row r="1041" spans="1:6" ht="15" thickBot="1">
      <c r="A1041" s="31">
        <v>7543912</v>
      </c>
      <c r="B1041" s="32">
        <v>25500000</v>
      </c>
      <c r="C1041" s="33" t="s">
        <v>263</v>
      </c>
      <c r="D1041" s="33" t="s">
        <v>161</v>
      </c>
      <c r="E1041" s="33" t="s">
        <v>162</v>
      </c>
      <c r="F1041" s="33" t="s">
        <v>163</v>
      </c>
    </row>
    <row r="1042" spans="1:6" ht="15" thickBot="1">
      <c r="A1042" s="31">
        <v>7544863</v>
      </c>
      <c r="B1042" s="32">
        <v>5200000</v>
      </c>
      <c r="C1042" s="33" t="s">
        <v>171</v>
      </c>
      <c r="D1042" s="33" t="s">
        <v>161</v>
      </c>
      <c r="E1042" s="33" t="s">
        <v>162</v>
      </c>
      <c r="F1042" s="33" t="s">
        <v>163</v>
      </c>
    </row>
    <row r="1043" spans="1:6" ht="15" thickBot="1">
      <c r="A1043" s="31">
        <v>7545853</v>
      </c>
      <c r="B1043" s="32">
        <v>48000000</v>
      </c>
      <c r="C1043" s="33" t="s">
        <v>183</v>
      </c>
      <c r="D1043" s="33" t="s">
        <v>169</v>
      </c>
      <c r="E1043" s="34" t="s">
        <v>170</v>
      </c>
      <c r="F1043" s="33" t="s">
        <v>163</v>
      </c>
    </row>
    <row r="1044" spans="1:6" ht="29" thickBot="1">
      <c r="A1044" s="31">
        <v>7546997</v>
      </c>
      <c r="B1044" s="32">
        <v>8500000</v>
      </c>
      <c r="C1044" s="33" t="s">
        <v>354</v>
      </c>
      <c r="D1044" s="33" t="s">
        <v>161</v>
      </c>
      <c r="E1044" s="33" t="s">
        <v>162</v>
      </c>
      <c r="F1044" s="33" t="s">
        <v>163</v>
      </c>
    </row>
    <row r="1045" spans="1:6" ht="15" thickBot="1">
      <c r="A1045" s="31">
        <v>7551813</v>
      </c>
      <c r="B1045" s="32">
        <v>30000</v>
      </c>
      <c r="C1045" s="33" t="s">
        <v>180</v>
      </c>
      <c r="D1045" s="33" t="s">
        <v>165</v>
      </c>
      <c r="E1045" s="33" t="s">
        <v>166</v>
      </c>
      <c r="F1045" s="33" t="s">
        <v>167</v>
      </c>
    </row>
    <row r="1046" spans="1:6" ht="15" thickBot="1">
      <c r="A1046" s="31">
        <v>7551814</v>
      </c>
      <c r="B1046" s="32">
        <v>23000</v>
      </c>
      <c r="C1046" s="33" t="s">
        <v>180</v>
      </c>
      <c r="D1046" s="33" t="s">
        <v>165</v>
      </c>
      <c r="E1046" s="33" t="s">
        <v>166</v>
      </c>
      <c r="F1046" s="33" t="s">
        <v>167</v>
      </c>
    </row>
    <row r="1047" spans="1:6" ht="15" thickBot="1">
      <c r="A1047" s="31">
        <v>7551815</v>
      </c>
      <c r="B1047" s="32">
        <v>35000</v>
      </c>
      <c r="C1047" s="33" t="s">
        <v>180</v>
      </c>
      <c r="D1047" s="33" t="s">
        <v>165</v>
      </c>
      <c r="E1047" s="33" t="s">
        <v>166</v>
      </c>
      <c r="F1047" s="33" t="s">
        <v>167</v>
      </c>
    </row>
    <row r="1048" spans="1:6" ht="15" thickBot="1">
      <c r="A1048" s="31">
        <v>7551816</v>
      </c>
      <c r="B1048" s="32">
        <v>38000</v>
      </c>
      <c r="C1048" s="33" t="s">
        <v>180</v>
      </c>
      <c r="D1048" s="33" t="s">
        <v>165</v>
      </c>
      <c r="E1048" s="33" t="s">
        <v>166</v>
      </c>
      <c r="F1048" s="33" t="s">
        <v>167</v>
      </c>
    </row>
    <row r="1049" spans="1:6" ht="15" thickBot="1">
      <c r="A1049" s="31">
        <v>7551817</v>
      </c>
      <c r="B1049" s="32">
        <v>40000</v>
      </c>
      <c r="C1049" s="33" t="s">
        <v>180</v>
      </c>
      <c r="D1049" s="33" t="s">
        <v>165</v>
      </c>
      <c r="E1049" s="33" t="s">
        <v>166</v>
      </c>
      <c r="F1049" s="33" t="s">
        <v>167</v>
      </c>
    </row>
    <row r="1050" spans="1:6" ht="15" thickBot="1">
      <c r="A1050" s="31">
        <v>7556046</v>
      </c>
      <c r="B1050" s="32">
        <v>10500000</v>
      </c>
      <c r="C1050" s="33" t="s">
        <v>355</v>
      </c>
      <c r="D1050" s="33" t="s">
        <v>161</v>
      </c>
      <c r="E1050" s="33" t="s">
        <v>162</v>
      </c>
      <c r="F1050" s="33" t="s">
        <v>163</v>
      </c>
    </row>
    <row r="1051" spans="1:6" ht="15" thickBot="1">
      <c r="A1051" s="31">
        <v>7567796</v>
      </c>
      <c r="B1051" s="32">
        <v>32000000</v>
      </c>
      <c r="C1051" s="33" t="s">
        <v>177</v>
      </c>
      <c r="D1051" s="33" t="s">
        <v>174</v>
      </c>
      <c r="E1051" s="33" t="s">
        <v>166</v>
      </c>
      <c r="F1051" s="33" t="s">
        <v>163</v>
      </c>
    </row>
    <row r="1052" spans="1:6" ht="15" thickBot="1">
      <c r="A1052" s="31">
        <v>7578376</v>
      </c>
      <c r="B1052" s="32">
        <v>17500000</v>
      </c>
      <c r="C1052" s="33" t="s">
        <v>196</v>
      </c>
      <c r="D1052" s="33" t="s">
        <v>161</v>
      </c>
      <c r="E1052" s="33" t="s">
        <v>162</v>
      </c>
      <c r="F1052" s="33" t="s">
        <v>163</v>
      </c>
    </row>
    <row r="1053" spans="1:6" ht="15" thickBot="1">
      <c r="A1053" s="31">
        <v>7579671</v>
      </c>
      <c r="B1053" s="32">
        <v>20000000</v>
      </c>
      <c r="C1053" s="33" t="s">
        <v>263</v>
      </c>
      <c r="D1053" s="33" t="s">
        <v>161</v>
      </c>
      <c r="E1053" s="33" t="s">
        <v>162</v>
      </c>
      <c r="F1053" s="33" t="s">
        <v>163</v>
      </c>
    </row>
    <row r="1054" spans="1:6" ht="15" thickBot="1">
      <c r="A1054" s="31">
        <v>7579918</v>
      </c>
      <c r="B1054" s="32">
        <v>53500000</v>
      </c>
      <c r="C1054" s="33" t="s">
        <v>182</v>
      </c>
      <c r="D1054" s="33" t="s">
        <v>174</v>
      </c>
      <c r="E1054" s="33" t="s">
        <v>166</v>
      </c>
      <c r="F1054" s="33" t="s">
        <v>163</v>
      </c>
    </row>
    <row r="1055" spans="1:6" ht="15" thickBot="1">
      <c r="A1055" s="31">
        <v>7580802</v>
      </c>
      <c r="B1055" s="32">
        <v>7000000</v>
      </c>
      <c r="C1055" s="33" t="s">
        <v>356</v>
      </c>
      <c r="D1055" s="33" t="s">
        <v>161</v>
      </c>
      <c r="E1055" s="33" t="s">
        <v>162</v>
      </c>
      <c r="F1055" s="33" t="s">
        <v>163</v>
      </c>
    </row>
    <row r="1056" spans="1:6" ht="15" thickBot="1">
      <c r="A1056" s="31">
        <v>7589896</v>
      </c>
      <c r="B1056" s="32">
        <v>74800000</v>
      </c>
      <c r="C1056" s="33" t="s">
        <v>172</v>
      </c>
      <c r="D1056" s="33" t="s">
        <v>169</v>
      </c>
      <c r="E1056" s="34" t="s">
        <v>170</v>
      </c>
      <c r="F1056" s="33" t="s">
        <v>163</v>
      </c>
    </row>
    <row r="1057" spans="1:6" ht="15" thickBot="1">
      <c r="A1057" s="31">
        <v>7590162</v>
      </c>
      <c r="B1057" s="32">
        <v>1800000</v>
      </c>
      <c r="C1057" s="33" t="s">
        <v>355</v>
      </c>
      <c r="D1057" s="33" t="s">
        <v>161</v>
      </c>
      <c r="E1057" s="33" t="s">
        <v>162</v>
      </c>
      <c r="F1057" s="33" t="s">
        <v>163</v>
      </c>
    </row>
    <row r="1058" spans="1:6" ht="15" thickBot="1">
      <c r="A1058" s="31">
        <v>7595035</v>
      </c>
      <c r="B1058" s="32">
        <v>20000000</v>
      </c>
      <c r="C1058" s="33" t="s">
        <v>357</v>
      </c>
      <c r="D1058" s="33" t="s">
        <v>174</v>
      </c>
      <c r="E1058" s="33" t="s">
        <v>166</v>
      </c>
      <c r="F1058" s="33" t="s">
        <v>163</v>
      </c>
    </row>
    <row r="1059" spans="1:6" ht="15" thickBot="1">
      <c r="A1059" s="31">
        <v>7595808</v>
      </c>
      <c r="B1059" s="32">
        <v>13000000</v>
      </c>
      <c r="C1059" s="33" t="s">
        <v>196</v>
      </c>
      <c r="D1059" s="33" t="s">
        <v>161</v>
      </c>
      <c r="E1059" s="33" t="s">
        <v>162</v>
      </c>
      <c r="F1059" s="33" t="s">
        <v>163</v>
      </c>
    </row>
    <row r="1060" spans="1:6" ht="29" thickBot="1">
      <c r="A1060" s="31">
        <v>7596713</v>
      </c>
      <c r="B1060" s="32">
        <v>37500000</v>
      </c>
      <c r="C1060" s="33" t="s">
        <v>358</v>
      </c>
      <c r="D1060" s="33" t="s">
        <v>174</v>
      </c>
      <c r="E1060" s="33" t="s">
        <v>166</v>
      </c>
      <c r="F1060" s="33" t="s">
        <v>163</v>
      </c>
    </row>
    <row r="1061" spans="1:6" ht="29" thickBot="1">
      <c r="A1061" s="31">
        <v>7596966</v>
      </c>
      <c r="B1061" s="32">
        <v>98000000</v>
      </c>
      <c r="C1061" s="33" t="s">
        <v>261</v>
      </c>
      <c r="D1061" s="33" t="s">
        <v>161</v>
      </c>
      <c r="E1061" s="33" t="s">
        <v>162</v>
      </c>
      <c r="F1061" s="33" t="s">
        <v>163</v>
      </c>
    </row>
    <row r="1062" spans="1:6" ht="15" thickBot="1">
      <c r="A1062" s="31">
        <v>7598000</v>
      </c>
      <c r="B1062" s="32">
        <v>30000000</v>
      </c>
      <c r="C1062" s="33" t="s">
        <v>253</v>
      </c>
      <c r="D1062" s="33" t="s">
        <v>169</v>
      </c>
      <c r="E1062" s="34" t="s">
        <v>170</v>
      </c>
      <c r="F1062" s="33" t="s">
        <v>163</v>
      </c>
    </row>
    <row r="1063" spans="1:6" ht="15" thickBot="1">
      <c r="A1063" s="31">
        <v>7600743</v>
      </c>
      <c r="B1063" s="32">
        <v>41500000</v>
      </c>
      <c r="C1063" s="33" t="s">
        <v>177</v>
      </c>
      <c r="D1063" s="33" t="s">
        <v>174</v>
      </c>
      <c r="E1063" s="33" t="s">
        <v>166</v>
      </c>
      <c r="F1063" s="33" t="s">
        <v>163</v>
      </c>
    </row>
    <row r="1064" spans="1:6" ht="15" thickBot="1">
      <c r="A1064" s="31">
        <v>7601078</v>
      </c>
      <c r="B1064" s="32">
        <v>45000000</v>
      </c>
      <c r="C1064" s="33" t="s">
        <v>177</v>
      </c>
      <c r="D1064" s="33" t="s">
        <v>174</v>
      </c>
      <c r="E1064" s="33" t="s">
        <v>166</v>
      </c>
      <c r="F1064" s="33" t="s">
        <v>163</v>
      </c>
    </row>
    <row r="1065" spans="1:6" ht="15" thickBot="1">
      <c r="A1065" s="31">
        <v>7601273</v>
      </c>
      <c r="B1065" s="32">
        <v>35000000</v>
      </c>
      <c r="C1065" s="33" t="s">
        <v>177</v>
      </c>
      <c r="D1065" s="33" t="s">
        <v>174</v>
      </c>
      <c r="E1065" s="33" t="s">
        <v>166</v>
      </c>
      <c r="F1065" s="33" t="s">
        <v>163</v>
      </c>
    </row>
    <row r="1066" spans="1:6" ht="15" thickBot="1">
      <c r="A1066" s="31">
        <v>7601985</v>
      </c>
      <c r="B1066" s="32">
        <v>37500000</v>
      </c>
      <c r="C1066" s="33" t="s">
        <v>177</v>
      </c>
      <c r="D1066" s="33" t="s">
        <v>174</v>
      </c>
      <c r="E1066" s="33" t="s">
        <v>166</v>
      </c>
      <c r="F1066" s="33" t="s">
        <v>163</v>
      </c>
    </row>
    <row r="1067" spans="1:6" ht="15" thickBot="1">
      <c r="A1067" s="31">
        <v>7602367</v>
      </c>
      <c r="B1067" s="32">
        <v>110000000</v>
      </c>
      <c r="C1067" s="33" t="s">
        <v>177</v>
      </c>
      <c r="D1067" s="33" t="s">
        <v>174</v>
      </c>
      <c r="E1067" s="33" t="s">
        <v>166</v>
      </c>
      <c r="F1067" s="33" t="s">
        <v>163</v>
      </c>
    </row>
    <row r="1068" spans="1:6" ht="15" thickBot="1">
      <c r="A1068" s="31">
        <v>7602838</v>
      </c>
      <c r="B1068" s="32">
        <v>42500000</v>
      </c>
      <c r="C1068" s="33" t="s">
        <v>177</v>
      </c>
      <c r="D1068" s="33" t="s">
        <v>174</v>
      </c>
      <c r="E1068" s="33" t="s">
        <v>166</v>
      </c>
      <c r="F1068" s="33" t="s">
        <v>163</v>
      </c>
    </row>
    <row r="1069" spans="1:6" ht="15" thickBot="1">
      <c r="A1069" s="31">
        <v>7603197</v>
      </c>
      <c r="B1069" s="32">
        <v>47000000</v>
      </c>
      <c r="C1069" s="33" t="s">
        <v>177</v>
      </c>
      <c r="D1069" s="33" t="s">
        <v>174</v>
      </c>
      <c r="E1069" s="33" t="s">
        <v>166</v>
      </c>
      <c r="F1069" s="33" t="s">
        <v>163</v>
      </c>
    </row>
    <row r="1070" spans="1:6" ht="15" thickBot="1">
      <c r="A1070" s="31">
        <v>7603349</v>
      </c>
      <c r="B1070" s="32">
        <v>22200000</v>
      </c>
      <c r="C1070" s="33" t="s">
        <v>206</v>
      </c>
      <c r="D1070" s="33" t="s">
        <v>174</v>
      </c>
      <c r="E1070" s="33" t="s">
        <v>166</v>
      </c>
      <c r="F1070" s="33" t="s">
        <v>163</v>
      </c>
    </row>
    <row r="1071" spans="1:6" ht="15" thickBot="1">
      <c r="A1071" s="31">
        <v>7604436</v>
      </c>
      <c r="B1071" s="32">
        <v>45000000</v>
      </c>
      <c r="C1071" s="33" t="s">
        <v>177</v>
      </c>
      <c r="D1071" s="33" t="s">
        <v>174</v>
      </c>
      <c r="E1071" s="33" t="s">
        <v>166</v>
      </c>
      <c r="F1071" s="33" t="s">
        <v>163</v>
      </c>
    </row>
    <row r="1072" spans="1:6" ht="15" thickBot="1">
      <c r="A1072" s="31">
        <v>7607752</v>
      </c>
      <c r="B1072" s="32">
        <v>23000</v>
      </c>
      <c r="C1072" s="33" t="s">
        <v>180</v>
      </c>
      <c r="D1072" s="33" t="s">
        <v>165</v>
      </c>
      <c r="E1072" s="33" t="s">
        <v>166</v>
      </c>
      <c r="F1072" s="33" t="s">
        <v>167</v>
      </c>
    </row>
    <row r="1073" spans="1:6" ht="15" thickBot="1">
      <c r="A1073" s="31">
        <v>7607753</v>
      </c>
      <c r="B1073" s="32">
        <v>36000</v>
      </c>
      <c r="C1073" s="33" t="s">
        <v>180</v>
      </c>
      <c r="D1073" s="33" t="s">
        <v>165</v>
      </c>
      <c r="E1073" s="33" t="s">
        <v>166</v>
      </c>
      <c r="F1073" s="33" t="s">
        <v>167</v>
      </c>
    </row>
    <row r="1074" spans="1:6" ht="15" thickBot="1">
      <c r="A1074" s="31">
        <v>7607754</v>
      </c>
      <c r="B1074" s="32">
        <v>45000</v>
      </c>
      <c r="C1074" s="33" t="s">
        <v>180</v>
      </c>
      <c r="D1074" s="33" t="s">
        <v>165</v>
      </c>
      <c r="E1074" s="33" t="s">
        <v>166</v>
      </c>
      <c r="F1074" s="33" t="s">
        <v>167</v>
      </c>
    </row>
    <row r="1075" spans="1:6" ht="15" thickBot="1">
      <c r="A1075" s="31">
        <v>7607911</v>
      </c>
      <c r="B1075" s="32">
        <v>35000</v>
      </c>
      <c r="C1075" s="33" t="s">
        <v>180</v>
      </c>
      <c r="D1075" s="33" t="s">
        <v>165</v>
      </c>
      <c r="E1075" s="33" t="s">
        <v>166</v>
      </c>
      <c r="F1075" s="33" t="s">
        <v>167</v>
      </c>
    </row>
    <row r="1076" spans="1:6" ht="15" thickBot="1">
      <c r="A1076" s="31">
        <v>7612821</v>
      </c>
      <c r="B1076" s="32">
        <v>6500000</v>
      </c>
      <c r="C1076" s="33" t="s">
        <v>171</v>
      </c>
      <c r="D1076" s="33" t="s">
        <v>161</v>
      </c>
      <c r="E1076" s="33" t="s">
        <v>162</v>
      </c>
      <c r="F1076" s="33" t="s">
        <v>163</v>
      </c>
    </row>
    <row r="1077" spans="1:6" ht="15" thickBot="1">
      <c r="A1077" s="31">
        <v>7612833</v>
      </c>
      <c r="B1077" s="32">
        <v>82500000</v>
      </c>
      <c r="C1077" s="33" t="s">
        <v>177</v>
      </c>
      <c r="D1077" s="33" t="s">
        <v>161</v>
      </c>
      <c r="E1077" s="33" t="s">
        <v>162</v>
      </c>
      <c r="F1077" s="33" t="s">
        <v>163</v>
      </c>
    </row>
    <row r="1078" spans="1:6" ht="15" thickBot="1">
      <c r="A1078" s="31">
        <v>7618552</v>
      </c>
      <c r="B1078" s="32">
        <v>30000000</v>
      </c>
      <c r="C1078" s="33" t="s">
        <v>177</v>
      </c>
      <c r="D1078" s="33" t="s">
        <v>174</v>
      </c>
      <c r="E1078" s="33" t="s">
        <v>166</v>
      </c>
      <c r="F1078" s="33" t="s">
        <v>163</v>
      </c>
    </row>
    <row r="1079" spans="1:6" ht="15" thickBot="1">
      <c r="A1079" s="31">
        <v>7619056</v>
      </c>
      <c r="B1079" s="32">
        <v>21000000</v>
      </c>
      <c r="C1079" s="33" t="s">
        <v>177</v>
      </c>
      <c r="D1079" s="33" t="s">
        <v>174</v>
      </c>
      <c r="E1079" s="33" t="s">
        <v>166</v>
      </c>
      <c r="F1079" s="33" t="s">
        <v>163</v>
      </c>
    </row>
    <row r="1080" spans="1:6" ht="15" thickBot="1">
      <c r="A1080" s="31">
        <v>7620020</v>
      </c>
      <c r="B1080" s="32">
        <v>15500000</v>
      </c>
      <c r="C1080" s="33" t="s">
        <v>180</v>
      </c>
      <c r="D1080" s="33" t="s">
        <v>165</v>
      </c>
      <c r="E1080" s="33" t="s">
        <v>166</v>
      </c>
      <c r="F1080" s="33" t="s">
        <v>163</v>
      </c>
    </row>
    <row r="1081" spans="1:6" ht="15" thickBot="1">
      <c r="A1081" s="31">
        <v>7620721</v>
      </c>
      <c r="B1081" s="32">
        <v>10500000</v>
      </c>
      <c r="C1081" s="33" t="s">
        <v>251</v>
      </c>
      <c r="D1081" s="33" t="s">
        <v>174</v>
      </c>
      <c r="E1081" s="33" t="s">
        <v>166</v>
      </c>
      <c r="F1081" s="33" t="s">
        <v>163</v>
      </c>
    </row>
    <row r="1082" spans="1:6" ht="29" thickBot="1">
      <c r="A1082" s="31">
        <v>7625869</v>
      </c>
      <c r="B1082" s="32">
        <v>50000000</v>
      </c>
      <c r="C1082" s="33" t="s">
        <v>301</v>
      </c>
      <c r="D1082" s="33" t="s">
        <v>174</v>
      </c>
      <c r="E1082" s="33" t="s">
        <v>166</v>
      </c>
      <c r="F1082" s="33" t="s">
        <v>163</v>
      </c>
    </row>
    <row r="1083" spans="1:6" ht="15" thickBot="1">
      <c r="A1083" s="31">
        <v>7629613</v>
      </c>
      <c r="B1083" s="32">
        <v>20000</v>
      </c>
      <c r="C1083" s="33" t="s">
        <v>180</v>
      </c>
      <c r="D1083" s="33" t="s">
        <v>165</v>
      </c>
      <c r="E1083" s="33" t="s">
        <v>166</v>
      </c>
      <c r="F1083" s="33" t="s">
        <v>167</v>
      </c>
    </row>
    <row r="1084" spans="1:6" ht="15" thickBot="1">
      <c r="A1084" s="31">
        <v>7630065</v>
      </c>
      <c r="B1084" s="32">
        <v>50000</v>
      </c>
      <c r="C1084" s="33" t="s">
        <v>180</v>
      </c>
      <c r="D1084" s="33" t="s">
        <v>165</v>
      </c>
      <c r="E1084" s="33" t="s">
        <v>166</v>
      </c>
      <c r="F1084" s="33" t="s">
        <v>167</v>
      </c>
    </row>
    <row r="1085" spans="1:6" ht="15" thickBot="1">
      <c r="A1085" s="31">
        <v>7630200</v>
      </c>
      <c r="B1085" s="32">
        <v>16000000</v>
      </c>
      <c r="C1085" s="33" t="s">
        <v>180</v>
      </c>
      <c r="D1085" s="33" t="s">
        <v>165</v>
      </c>
      <c r="E1085" s="33" t="s">
        <v>166</v>
      </c>
      <c r="F1085" s="33" t="s">
        <v>163</v>
      </c>
    </row>
    <row r="1086" spans="1:6" ht="29" thickBot="1">
      <c r="A1086" s="31">
        <v>7636120</v>
      </c>
      <c r="B1086" s="32">
        <v>33000000</v>
      </c>
      <c r="C1086" s="33" t="s">
        <v>308</v>
      </c>
      <c r="D1086" s="33" t="s">
        <v>174</v>
      </c>
      <c r="E1086" s="33" t="s">
        <v>166</v>
      </c>
      <c r="F1086" s="33" t="s">
        <v>163</v>
      </c>
    </row>
    <row r="1087" spans="1:6" ht="15" thickBot="1">
      <c r="A1087" s="31">
        <v>7646885</v>
      </c>
      <c r="B1087" s="32">
        <v>20500000</v>
      </c>
      <c r="C1087" s="33" t="s">
        <v>282</v>
      </c>
      <c r="D1087" s="33" t="s">
        <v>161</v>
      </c>
      <c r="E1087" s="33" t="s">
        <v>162</v>
      </c>
      <c r="F1087" s="33" t="s">
        <v>163</v>
      </c>
    </row>
    <row r="1088" spans="1:6" ht="15" thickBot="1">
      <c r="A1088" s="31">
        <v>7646891</v>
      </c>
      <c r="B1088" s="32">
        <v>27000000</v>
      </c>
      <c r="C1088" s="33" t="s">
        <v>282</v>
      </c>
      <c r="D1088" s="33" t="s">
        <v>161</v>
      </c>
      <c r="E1088" s="33" t="s">
        <v>162</v>
      </c>
      <c r="F1088" s="33" t="s">
        <v>163</v>
      </c>
    </row>
    <row r="1089" spans="1:6" ht="15" thickBot="1">
      <c r="A1089" s="31">
        <v>7647090</v>
      </c>
      <c r="B1089" s="32">
        <v>27000000</v>
      </c>
      <c r="C1089" s="33" t="s">
        <v>177</v>
      </c>
      <c r="D1089" s="33" t="s">
        <v>161</v>
      </c>
      <c r="E1089" s="33" t="s">
        <v>162</v>
      </c>
      <c r="F1089" s="33" t="s">
        <v>163</v>
      </c>
    </row>
    <row r="1090" spans="1:6" ht="15" thickBot="1">
      <c r="A1090" s="31">
        <v>7647091</v>
      </c>
      <c r="B1090" s="32">
        <v>27000000</v>
      </c>
      <c r="C1090" s="33" t="s">
        <v>177</v>
      </c>
      <c r="D1090" s="33" t="s">
        <v>161</v>
      </c>
      <c r="E1090" s="33" t="s">
        <v>162</v>
      </c>
      <c r="F1090" s="33" t="s">
        <v>163</v>
      </c>
    </row>
    <row r="1091" spans="1:6" ht="15" thickBot="1">
      <c r="A1091" s="31">
        <v>7647094</v>
      </c>
      <c r="B1091" s="32">
        <v>27000000</v>
      </c>
      <c r="C1091" s="33" t="s">
        <v>177</v>
      </c>
      <c r="D1091" s="33" t="s">
        <v>161</v>
      </c>
      <c r="E1091" s="33" t="s">
        <v>162</v>
      </c>
      <c r="F1091" s="33" t="s">
        <v>163</v>
      </c>
    </row>
    <row r="1092" spans="1:6" ht="15" thickBot="1">
      <c r="A1092" s="31">
        <v>7647097</v>
      </c>
      <c r="B1092" s="32">
        <v>37000000</v>
      </c>
      <c r="C1092" s="33" t="s">
        <v>177</v>
      </c>
      <c r="D1092" s="33" t="s">
        <v>161</v>
      </c>
      <c r="E1092" s="33" t="s">
        <v>162</v>
      </c>
      <c r="F1092" s="33" t="s">
        <v>163</v>
      </c>
    </row>
    <row r="1093" spans="1:6" ht="15" thickBot="1">
      <c r="A1093" s="31">
        <v>7647098</v>
      </c>
      <c r="B1093" s="32">
        <v>37000000</v>
      </c>
      <c r="C1093" s="33" t="s">
        <v>177</v>
      </c>
      <c r="D1093" s="33" t="s">
        <v>161</v>
      </c>
      <c r="E1093" s="33" t="s">
        <v>162</v>
      </c>
      <c r="F1093" s="33" t="s">
        <v>163</v>
      </c>
    </row>
    <row r="1094" spans="1:6" ht="15" thickBot="1">
      <c r="A1094" s="31">
        <v>7647099</v>
      </c>
      <c r="B1094" s="32">
        <v>37000000</v>
      </c>
      <c r="C1094" s="33" t="s">
        <v>177</v>
      </c>
      <c r="D1094" s="33" t="s">
        <v>161</v>
      </c>
      <c r="E1094" s="33" t="s">
        <v>162</v>
      </c>
      <c r="F1094" s="33" t="s">
        <v>163</v>
      </c>
    </row>
    <row r="1095" spans="1:6" ht="15" thickBot="1">
      <c r="A1095" s="31">
        <v>7647100</v>
      </c>
      <c r="B1095" s="32">
        <v>47000000</v>
      </c>
      <c r="C1095" s="33" t="s">
        <v>177</v>
      </c>
      <c r="D1095" s="33" t="s">
        <v>161</v>
      </c>
      <c r="E1095" s="33" t="s">
        <v>162</v>
      </c>
      <c r="F1095" s="33" t="s">
        <v>163</v>
      </c>
    </row>
    <row r="1096" spans="1:6" ht="15" thickBot="1">
      <c r="A1096" s="31">
        <v>7647102</v>
      </c>
      <c r="B1096" s="32">
        <v>47000000</v>
      </c>
      <c r="C1096" s="33" t="s">
        <v>177</v>
      </c>
      <c r="D1096" s="33" t="s">
        <v>161</v>
      </c>
      <c r="E1096" s="33" t="s">
        <v>162</v>
      </c>
      <c r="F1096" s="33" t="s">
        <v>163</v>
      </c>
    </row>
    <row r="1097" spans="1:6" ht="15" thickBot="1">
      <c r="A1097" s="31">
        <v>7647103</v>
      </c>
      <c r="B1097" s="32">
        <v>47000000</v>
      </c>
      <c r="C1097" s="33" t="s">
        <v>177</v>
      </c>
      <c r="D1097" s="33" t="s">
        <v>161</v>
      </c>
      <c r="E1097" s="33" t="s">
        <v>162</v>
      </c>
      <c r="F1097" s="33" t="s">
        <v>163</v>
      </c>
    </row>
    <row r="1098" spans="1:6" ht="15" thickBot="1">
      <c r="A1098" s="31">
        <v>7647104</v>
      </c>
      <c r="B1098" s="32">
        <v>47000000</v>
      </c>
      <c r="C1098" s="33" t="s">
        <v>177</v>
      </c>
      <c r="D1098" s="33" t="s">
        <v>161</v>
      </c>
      <c r="E1098" s="33" t="s">
        <v>162</v>
      </c>
      <c r="F1098" s="33" t="s">
        <v>163</v>
      </c>
    </row>
    <row r="1099" spans="1:6" ht="15" thickBot="1">
      <c r="A1099" s="31">
        <v>7647105</v>
      </c>
      <c r="B1099" s="32">
        <v>50000000</v>
      </c>
      <c r="C1099" s="33" t="s">
        <v>177</v>
      </c>
      <c r="D1099" s="33" t="s">
        <v>161</v>
      </c>
      <c r="E1099" s="33" t="s">
        <v>162</v>
      </c>
      <c r="F1099" s="33" t="s">
        <v>163</v>
      </c>
    </row>
    <row r="1100" spans="1:6" ht="15" thickBot="1">
      <c r="A1100" s="31">
        <v>7647107</v>
      </c>
      <c r="B1100" s="32">
        <v>50000000</v>
      </c>
      <c r="C1100" s="33" t="s">
        <v>177</v>
      </c>
      <c r="D1100" s="33" t="s">
        <v>161</v>
      </c>
      <c r="E1100" s="33" t="s">
        <v>162</v>
      </c>
      <c r="F1100" s="33" t="s">
        <v>163</v>
      </c>
    </row>
    <row r="1101" spans="1:6" ht="15" thickBot="1">
      <c r="A1101" s="31">
        <v>7647108</v>
      </c>
      <c r="B1101" s="32">
        <v>50000000</v>
      </c>
      <c r="C1101" s="33" t="s">
        <v>177</v>
      </c>
      <c r="D1101" s="33" t="s">
        <v>161</v>
      </c>
      <c r="E1101" s="33" t="s">
        <v>162</v>
      </c>
      <c r="F1101" s="33" t="s">
        <v>163</v>
      </c>
    </row>
    <row r="1102" spans="1:6" ht="15" thickBot="1">
      <c r="A1102" s="31">
        <v>7647109</v>
      </c>
      <c r="B1102" s="32">
        <v>50000000</v>
      </c>
      <c r="C1102" s="33" t="s">
        <v>177</v>
      </c>
      <c r="D1102" s="33" t="s">
        <v>161</v>
      </c>
      <c r="E1102" s="33" t="s">
        <v>162</v>
      </c>
      <c r="F1102" s="33" t="s">
        <v>163</v>
      </c>
    </row>
    <row r="1103" spans="1:6" ht="15" thickBot="1">
      <c r="A1103" s="31">
        <v>7647113</v>
      </c>
      <c r="B1103" s="32">
        <v>149300000</v>
      </c>
      <c r="C1103" s="33" t="s">
        <v>177</v>
      </c>
      <c r="D1103" s="33" t="s">
        <v>161</v>
      </c>
      <c r="E1103" s="33" t="s">
        <v>162</v>
      </c>
      <c r="F1103" s="33" t="s">
        <v>163</v>
      </c>
    </row>
    <row r="1104" spans="1:6" ht="15" thickBot="1">
      <c r="A1104" s="31">
        <v>7647114</v>
      </c>
      <c r="B1104" s="32">
        <v>149300000</v>
      </c>
      <c r="C1104" s="33" t="s">
        <v>177</v>
      </c>
      <c r="D1104" s="33" t="s">
        <v>161</v>
      </c>
      <c r="E1104" s="33" t="s">
        <v>162</v>
      </c>
      <c r="F1104" s="33" t="s">
        <v>163</v>
      </c>
    </row>
    <row r="1105" spans="1:6" ht="15" thickBot="1">
      <c r="A1105" s="31">
        <v>7647455</v>
      </c>
      <c r="B1105" s="32">
        <v>107700000</v>
      </c>
      <c r="C1105" s="33" t="s">
        <v>282</v>
      </c>
      <c r="D1105" s="33" t="s">
        <v>161</v>
      </c>
      <c r="E1105" s="33" t="s">
        <v>162</v>
      </c>
      <c r="F1105" s="33" t="s">
        <v>163</v>
      </c>
    </row>
    <row r="1106" spans="1:6" ht="15" thickBot="1">
      <c r="A1106" s="31">
        <v>7647795</v>
      </c>
      <c r="B1106" s="32">
        <v>55000000</v>
      </c>
      <c r="C1106" s="33" t="s">
        <v>180</v>
      </c>
      <c r="D1106" s="33" t="s">
        <v>165</v>
      </c>
      <c r="E1106" s="33" t="s">
        <v>166</v>
      </c>
      <c r="F1106" s="33" t="s">
        <v>163</v>
      </c>
    </row>
    <row r="1107" spans="1:6" ht="15" thickBot="1">
      <c r="A1107" s="31">
        <v>7648027</v>
      </c>
      <c r="B1107" s="32">
        <v>45000</v>
      </c>
      <c r="C1107" s="33" t="s">
        <v>172</v>
      </c>
      <c r="D1107" s="33" t="s">
        <v>169</v>
      </c>
      <c r="E1107" s="34" t="s">
        <v>170</v>
      </c>
      <c r="F1107" s="33" t="s">
        <v>167</v>
      </c>
    </row>
    <row r="1108" spans="1:6" ht="15" thickBot="1">
      <c r="A1108" s="31">
        <v>7648232</v>
      </c>
      <c r="B1108" s="32">
        <v>37500000</v>
      </c>
      <c r="C1108" s="33" t="s">
        <v>180</v>
      </c>
      <c r="D1108" s="33" t="s">
        <v>165</v>
      </c>
      <c r="E1108" s="33" t="s">
        <v>166</v>
      </c>
      <c r="F1108" s="33" t="s">
        <v>163</v>
      </c>
    </row>
    <row r="1109" spans="1:6" ht="15" thickBot="1">
      <c r="A1109" s="31">
        <v>7648556</v>
      </c>
      <c r="B1109" s="32">
        <v>1800000</v>
      </c>
      <c r="C1109" s="33" t="s">
        <v>359</v>
      </c>
      <c r="D1109" s="33" t="s">
        <v>161</v>
      </c>
      <c r="E1109" s="33" t="s">
        <v>162</v>
      </c>
      <c r="F1109" s="33" t="s">
        <v>163</v>
      </c>
    </row>
    <row r="1110" spans="1:6" ht="15" thickBot="1">
      <c r="A1110" s="31">
        <v>7654699</v>
      </c>
      <c r="B1110" s="32">
        <v>10300000</v>
      </c>
      <c r="C1110" s="33" t="s">
        <v>177</v>
      </c>
      <c r="D1110" s="33" t="s">
        <v>161</v>
      </c>
      <c r="E1110" s="33" t="s">
        <v>162</v>
      </c>
      <c r="F1110" s="33" t="s">
        <v>163</v>
      </c>
    </row>
    <row r="1111" spans="1:6" ht="15" thickBot="1">
      <c r="A1111" s="31">
        <v>7654702</v>
      </c>
      <c r="B1111" s="32">
        <v>14000000</v>
      </c>
      <c r="C1111" s="33" t="s">
        <v>177</v>
      </c>
      <c r="D1111" s="33" t="s">
        <v>161</v>
      </c>
      <c r="E1111" s="33" t="s">
        <v>162</v>
      </c>
      <c r="F1111" s="33" t="s">
        <v>163</v>
      </c>
    </row>
    <row r="1112" spans="1:6" ht="15" thickBot="1">
      <c r="A1112" s="31">
        <v>7654708</v>
      </c>
      <c r="B1112" s="32">
        <v>10300000</v>
      </c>
      <c r="C1112" s="33" t="s">
        <v>177</v>
      </c>
      <c r="D1112" s="33" t="s">
        <v>161</v>
      </c>
      <c r="E1112" s="33" t="s">
        <v>162</v>
      </c>
      <c r="F1112" s="33" t="s">
        <v>163</v>
      </c>
    </row>
    <row r="1113" spans="1:6" ht="15" thickBot="1">
      <c r="A1113" s="31">
        <v>7654713</v>
      </c>
      <c r="B1113" s="32">
        <v>14000000</v>
      </c>
      <c r="C1113" s="33" t="s">
        <v>177</v>
      </c>
      <c r="D1113" s="33" t="s">
        <v>161</v>
      </c>
      <c r="E1113" s="33" t="s">
        <v>162</v>
      </c>
      <c r="F1113" s="33" t="s">
        <v>163</v>
      </c>
    </row>
    <row r="1114" spans="1:6" ht="15" thickBot="1">
      <c r="A1114" s="31">
        <v>7654714</v>
      </c>
      <c r="B1114" s="32">
        <v>14000000</v>
      </c>
      <c r="C1114" s="33" t="s">
        <v>177</v>
      </c>
      <c r="D1114" s="33" t="s">
        <v>161</v>
      </c>
      <c r="E1114" s="33" t="s">
        <v>162</v>
      </c>
      <c r="F1114" s="33" t="s">
        <v>163</v>
      </c>
    </row>
    <row r="1115" spans="1:6" ht="15" thickBot="1">
      <c r="A1115" s="31">
        <v>7660750</v>
      </c>
      <c r="B1115" s="32">
        <v>150000000</v>
      </c>
      <c r="C1115" s="33" t="s">
        <v>177</v>
      </c>
      <c r="D1115" s="33" t="s">
        <v>161</v>
      </c>
      <c r="E1115" s="33" t="s">
        <v>162</v>
      </c>
      <c r="F1115" s="33" t="s">
        <v>163</v>
      </c>
    </row>
    <row r="1116" spans="1:6" ht="29" thickBot="1">
      <c r="A1116" s="31">
        <v>7662305</v>
      </c>
      <c r="B1116" s="32">
        <v>4666000</v>
      </c>
      <c r="C1116" s="33" t="s">
        <v>286</v>
      </c>
      <c r="D1116" s="33" t="s">
        <v>161</v>
      </c>
      <c r="E1116" s="33" t="s">
        <v>162</v>
      </c>
      <c r="F1116" s="33" t="s">
        <v>163</v>
      </c>
    </row>
    <row r="1117" spans="1:6" ht="29" thickBot="1">
      <c r="A1117" s="31">
        <v>7662870</v>
      </c>
      <c r="B1117" s="32">
        <v>7960000</v>
      </c>
      <c r="C1117" s="33" t="s">
        <v>286</v>
      </c>
      <c r="D1117" s="33" t="s">
        <v>161</v>
      </c>
      <c r="E1117" s="33" t="s">
        <v>162</v>
      </c>
      <c r="F1117" s="33" t="s">
        <v>163</v>
      </c>
    </row>
    <row r="1118" spans="1:6" ht="15" thickBot="1">
      <c r="A1118" s="31">
        <v>7664843</v>
      </c>
      <c r="B1118" s="32">
        <v>8500000</v>
      </c>
      <c r="C1118" s="33" t="s">
        <v>221</v>
      </c>
      <c r="D1118" s="33" t="s">
        <v>169</v>
      </c>
      <c r="E1118" s="34" t="s">
        <v>170</v>
      </c>
      <c r="F1118" s="33" t="s">
        <v>163</v>
      </c>
    </row>
    <row r="1119" spans="1:6" ht="15" thickBot="1">
      <c r="A1119" s="31">
        <v>7668047</v>
      </c>
      <c r="B1119" s="32">
        <v>67800000</v>
      </c>
      <c r="C1119" s="33" t="s">
        <v>177</v>
      </c>
      <c r="D1119" s="33" t="s">
        <v>174</v>
      </c>
      <c r="E1119" s="33" t="s">
        <v>166</v>
      </c>
      <c r="F1119" s="33" t="s">
        <v>163</v>
      </c>
    </row>
    <row r="1120" spans="1:6" ht="15" thickBot="1">
      <c r="A1120" s="31">
        <v>7673750</v>
      </c>
      <c r="B1120" s="32">
        <v>38000</v>
      </c>
      <c r="C1120" s="33" t="s">
        <v>180</v>
      </c>
      <c r="D1120" s="33" t="s">
        <v>165</v>
      </c>
      <c r="E1120" s="33" t="s">
        <v>166</v>
      </c>
      <c r="F1120" s="33" t="s">
        <v>167</v>
      </c>
    </row>
    <row r="1121" spans="1:6" ht="15" thickBot="1">
      <c r="A1121" s="31">
        <v>7674657</v>
      </c>
      <c r="B1121" s="32">
        <v>47500000</v>
      </c>
      <c r="C1121" s="33" t="s">
        <v>177</v>
      </c>
      <c r="D1121" s="33" t="s">
        <v>174</v>
      </c>
      <c r="E1121" s="33" t="s">
        <v>166</v>
      </c>
      <c r="F1121" s="33" t="s">
        <v>163</v>
      </c>
    </row>
    <row r="1122" spans="1:6" ht="15" thickBot="1">
      <c r="A1122" s="31">
        <v>7677058</v>
      </c>
      <c r="B1122" s="32">
        <v>6642000</v>
      </c>
      <c r="C1122" s="33" t="s">
        <v>285</v>
      </c>
      <c r="D1122" s="33" t="s">
        <v>161</v>
      </c>
      <c r="E1122" s="33" t="s">
        <v>162</v>
      </c>
      <c r="F1122" s="33" t="s">
        <v>163</v>
      </c>
    </row>
    <row r="1123" spans="1:6" ht="15" thickBot="1">
      <c r="A1123" s="31">
        <v>7677394</v>
      </c>
      <c r="B1123" s="32">
        <v>60000000</v>
      </c>
      <c r="C1123" s="33" t="s">
        <v>177</v>
      </c>
      <c r="D1123" s="33" t="s">
        <v>174</v>
      </c>
      <c r="E1123" s="33" t="s">
        <v>166</v>
      </c>
      <c r="F1123" s="33" t="s">
        <v>163</v>
      </c>
    </row>
    <row r="1124" spans="1:6" ht="15" thickBot="1">
      <c r="A1124" s="31">
        <v>7678093</v>
      </c>
      <c r="B1124" s="32">
        <v>13500000</v>
      </c>
      <c r="C1124" s="33" t="s">
        <v>206</v>
      </c>
      <c r="D1124" s="33" t="s">
        <v>174</v>
      </c>
      <c r="E1124" s="33" t="s">
        <v>166</v>
      </c>
      <c r="F1124" s="33" t="s">
        <v>163</v>
      </c>
    </row>
    <row r="1125" spans="1:6" ht="15" thickBot="1">
      <c r="A1125" s="31">
        <v>7678094</v>
      </c>
      <c r="B1125" s="32">
        <v>13700000</v>
      </c>
      <c r="C1125" s="33" t="s">
        <v>206</v>
      </c>
      <c r="D1125" s="33" t="s">
        <v>174</v>
      </c>
      <c r="E1125" s="33" t="s">
        <v>166</v>
      </c>
      <c r="F1125" s="33" t="s">
        <v>163</v>
      </c>
    </row>
    <row r="1126" spans="1:6" ht="15" thickBot="1">
      <c r="A1126" s="31">
        <v>7679770</v>
      </c>
      <c r="B1126" s="32">
        <v>14500000</v>
      </c>
      <c r="C1126" s="33" t="s">
        <v>171</v>
      </c>
      <c r="D1126" s="33" t="s">
        <v>161</v>
      </c>
      <c r="E1126" s="33" t="s">
        <v>162</v>
      </c>
      <c r="F1126" s="33" t="s">
        <v>163</v>
      </c>
    </row>
    <row r="1127" spans="1:6" ht="29" thickBot="1">
      <c r="A1127" s="31">
        <v>7681620</v>
      </c>
      <c r="B1127" s="32">
        <v>12500000</v>
      </c>
      <c r="C1127" s="33" t="s">
        <v>286</v>
      </c>
      <c r="D1127" s="33" t="s">
        <v>161</v>
      </c>
      <c r="E1127" s="33" t="s">
        <v>162</v>
      </c>
      <c r="F1127" s="33" t="s">
        <v>163</v>
      </c>
    </row>
    <row r="1128" spans="1:6" ht="29" thickBot="1">
      <c r="A1128" s="31">
        <v>7690421</v>
      </c>
      <c r="B1128" s="32">
        <v>6642000</v>
      </c>
      <c r="C1128" s="33" t="s">
        <v>286</v>
      </c>
      <c r="D1128" s="33" t="s">
        <v>161</v>
      </c>
      <c r="E1128" s="33" t="s">
        <v>162</v>
      </c>
      <c r="F1128" s="33" t="s">
        <v>163</v>
      </c>
    </row>
    <row r="1129" spans="1:6" ht="15" thickBot="1">
      <c r="A1129" s="31">
        <v>7690607</v>
      </c>
      <c r="B1129" s="32">
        <v>9205000</v>
      </c>
      <c r="C1129" s="33" t="s">
        <v>285</v>
      </c>
      <c r="D1129" s="33" t="s">
        <v>161</v>
      </c>
      <c r="E1129" s="33" t="s">
        <v>162</v>
      </c>
      <c r="F1129" s="33" t="s">
        <v>163</v>
      </c>
    </row>
    <row r="1130" spans="1:6" ht="29" thickBot="1">
      <c r="A1130" s="31">
        <v>7690765</v>
      </c>
      <c r="B1130" s="32">
        <v>12500000</v>
      </c>
      <c r="C1130" s="33" t="s">
        <v>286</v>
      </c>
      <c r="D1130" s="33" t="s">
        <v>161</v>
      </c>
      <c r="E1130" s="33" t="s">
        <v>162</v>
      </c>
      <c r="F1130" s="33" t="s">
        <v>163</v>
      </c>
    </row>
    <row r="1131" spans="1:6" ht="15" thickBot="1">
      <c r="A1131" s="31">
        <v>7691092</v>
      </c>
      <c r="B1131" s="32">
        <v>12300000</v>
      </c>
      <c r="C1131" s="33" t="s">
        <v>285</v>
      </c>
      <c r="D1131" s="33" t="s">
        <v>161</v>
      </c>
      <c r="E1131" s="33" t="s">
        <v>162</v>
      </c>
      <c r="F1131" s="33" t="s">
        <v>163</v>
      </c>
    </row>
    <row r="1132" spans="1:6" ht="15" thickBot="1">
      <c r="A1132" s="31">
        <v>7691490</v>
      </c>
      <c r="B1132" s="32">
        <v>18700000</v>
      </c>
      <c r="C1132" s="33" t="s">
        <v>285</v>
      </c>
      <c r="D1132" s="33" t="s">
        <v>161</v>
      </c>
      <c r="E1132" s="33" t="s">
        <v>162</v>
      </c>
      <c r="F1132" s="33" t="s">
        <v>163</v>
      </c>
    </row>
    <row r="1133" spans="1:6" ht="15" thickBot="1">
      <c r="A1133" s="31">
        <v>7691506</v>
      </c>
      <c r="B1133" s="32">
        <v>5000000</v>
      </c>
      <c r="C1133" s="33" t="s">
        <v>360</v>
      </c>
      <c r="D1133" s="33" t="s">
        <v>200</v>
      </c>
      <c r="E1133" s="33" t="s">
        <v>166</v>
      </c>
      <c r="F1133" s="33" t="s">
        <v>163</v>
      </c>
    </row>
    <row r="1134" spans="1:6" ht="15" thickBot="1">
      <c r="A1134" s="31">
        <v>7691529</v>
      </c>
      <c r="B1134" s="32">
        <v>26500000</v>
      </c>
      <c r="C1134" s="33" t="s">
        <v>285</v>
      </c>
      <c r="D1134" s="33" t="s">
        <v>161</v>
      </c>
      <c r="E1134" s="33" t="s">
        <v>162</v>
      </c>
      <c r="F1134" s="33" t="s">
        <v>163</v>
      </c>
    </row>
    <row r="1135" spans="1:6" ht="15" thickBot="1">
      <c r="A1135" s="31">
        <v>7691636</v>
      </c>
      <c r="B1135" s="32">
        <v>7500000</v>
      </c>
      <c r="C1135" s="33" t="s">
        <v>361</v>
      </c>
      <c r="D1135" s="33" t="s">
        <v>161</v>
      </c>
      <c r="E1135" s="33" t="s">
        <v>162</v>
      </c>
      <c r="F1135" s="33" t="s">
        <v>163</v>
      </c>
    </row>
    <row r="1136" spans="1:6" ht="15" thickBot="1">
      <c r="A1136" s="31">
        <v>7691708</v>
      </c>
      <c r="B1136" s="32">
        <v>6422000</v>
      </c>
      <c r="C1136" s="33" t="s">
        <v>285</v>
      </c>
      <c r="D1136" s="33" t="s">
        <v>161</v>
      </c>
      <c r="E1136" s="33" t="s">
        <v>162</v>
      </c>
      <c r="F1136" s="33" t="s">
        <v>163</v>
      </c>
    </row>
    <row r="1137" spans="1:6" ht="15" thickBot="1">
      <c r="A1137" s="31">
        <v>7691806</v>
      </c>
      <c r="B1137" s="32">
        <v>9743000</v>
      </c>
      <c r="C1137" s="33" t="s">
        <v>285</v>
      </c>
      <c r="D1137" s="33" t="s">
        <v>161</v>
      </c>
      <c r="E1137" s="33" t="s">
        <v>162</v>
      </c>
      <c r="F1137" s="33" t="s">
        <v>163</v>
      </c>
    </row>
    <row r="1138" spans="1:6" ht="15" thickBot="1">
      <c r="A1138" s="31">
        <v>7691971</v>
      </c>
      <c r="B1138" s="32">
        <v>5000000</v>
      </c>
      <c r="C1138" s="33" t="s">
        <v>204</v>
      </c>
      <c r="D1138" s="33" t="s">
        <v>174</v>
      </c>
      <c r="E1138" s="33" t="s">
        <v>166</v>
      </c>
      <c r="F1138" s="33" t="s">
        <v>163</v>
      </c>
    </row>
    <row r="1139" spans="1:6" ht="15" thickBot="1">
      <c r="A1139" s="31">
        <v>7692130</v>
      </c>
      <c r="B1139" s="32">
        <v>60000</v>
      </c>
      <c r="C1139" s="33" t="s">
        <v>263</v>
      </c>
      <c r="D1139" s="33" t="s">
        <v>161</v>
      </c>
      <c r="E1139" s="33" t="s">
        <v>162</v>
      </c>
      <c r="F1139" s="33" t="s">
        <v>167</v>
      </c>
    </row>
    <row r="1140" spans="1:6" ht="15" thickBot="1">
      <c r="A1140" s="31">
        <v>7692466</v>
      </c>
      <c r="B1140" s="32">
        <v>45000</v>
      </c>
      <c r="C1140" s="33" t="s">
        <v>180</v>
      </c>
      <c r="D1140" s="33" t="s">
        <v>165</v>
      </c>
      <c r="E1140" s="33" t="s">
        <v>166</v>
      </c>
      <c r="F1140" s="33" t="s">
        <v>167</v>
      </c>
    </row>
    <row r="1141" spans="1:6" ht="15" thickBot="1">
      <c r="A1141" s="31">
        <v>7696900</v>
      </c>
      <c r="B1141" s="32">
        <v>12500000</v>
      </c>
      <c r="C1141" s="33" t="s">
        <v>285</v>
      </c>
      <c r="D1141" s="33" t="s">
        <v>161</v>
      </c>
      <c r="E1141" s="33" t="s">
        <v>162</v>
      </c>
      <c r="F1141" s="33" t="s">
        <v>163</v>
      </c>
    </row>
    <row r="1142" spans="1:6" ht="29" thickBot="1">
      <c r="A1142" s="31">
        <v>7696914</v>
      </c>
      <c r="B1142" s="32">
        <v>14500000</v>
      </c>
      <c r="C1142" s="33" t="s">
        <v>237</v>
      </c>
      <c r="D1142" s="33" t="s">
        <v>174</v>
      </c>
      <c r="E1142" s="33" t="s">
        <v>166</v>
      </c>
      <c r="F1142" s="33" t="s">
        <v>163</v>
      </c>
    </row>
    <row r="1143" spans="1:6" ht="15" thickBot="1">
      <c r="A1143" s="31">
        <v>7697031</v>
      </c>
      <c r="B1143" s="32">
        <v>9000000</v>
      </c>
      <c r="C1143" s="33" t="s">
        <v>362</v>
      </c>
      <c r="D1143" s="33" t="s">
        <v>174</v>
      </c>
      <c r="E1143" s="33" t="s">
        <v>166</v>
      </c>
      <c r="F1143" s="33" t="s">
        <v>163</v>
      </c>
    </row>
    <row r="1144" spans="1:6" ht="15" thickBot="1">
      <c r="A1144" s="31">
        <v>7697245</v>
      </c>
      <c r="B1144" s="32">
        <v>9500000</v>
      </c>
      <c r="C1144" s="33" t="s">
        <v>363</v>
      </c>
      <c r="D1144" s="33" t="s">
        <v>174</v>
      </c>
      <c r="E1144" s="33" t="s">
        <v>166</v>
      </c>
      <c r="F1144" s="33" t="s">
        <v>163</v>
      </c>
    </row>
    <row r="1145" spans="1:6" ht="15" thickBot="1">
      <c r="A1145" s="31">
        <v>7702134</v>
      </c>
      <c r="B1145" s="32">
        <v>65000</v>
      </c>
      <c r="C1145" s="33" t="s">
        <v>307</v>
      </c>
      <c r="D1145" s="33" t="s">
        <v>169</v>
      </c>
      <c r="E1145" s="34" t="s">
        <v>170</v>
      </c>
      <c r="F1145" s="33" t="s">
        <v>167</v>
      </c>
    </row>
    <row r="1146" spans="1:6" ht="15" thickBot="1">
      <c r="A1146" s="31">
        <v>7703643</v>
      </c>
      <c r="B1146" s="32">
        <v>37000000</v>
      </c>
      <c r="C1146" s="33" t="s">
        <v>204</v>
      </c>
      <c r="D1146" s="33" t="s">
        <v>174</v>
      </c>
      <c r="E1146" s="33" t="s">
        <v>166</v>
      </c>
      <c r="F1146" s="33" t="s">
        <v>163</v>
      </c>
    </row>
    <row r="1147" spans="1:6" ht="15" thickBot="1">
      <c r="A1147" s="31">
        <v>7704921</v>
      </c>
      <c r="B1147" s="32">
        <v>125000000</v>
      </c>
      <c r="C1147" s="33" t="s">
        <v>181</v>
      </c>
      <c r="D1147" s="33" t="s">
        <v>174</v>
      </c>
      <c r="E1147" s="33" t="s">
        <v>166</v>
      </c>
      <c r="F1147" s="33" t="s">
        <v>163</v>
      </c>
    </row>
    <row r="1148" spans="1:6" ht="15" thickBot="1">
      <c r="A1148" s="31">
        <v>7705068</v>
      </c>
      <c r="B1148" s="32">
        <v>180000</v>
      </c>
      <c r="C1148" s="33" t="s">
        <v>172</v>
      </c>
      <c r="D1148" s="33" t="s">
        <v>169</v>
      </c>
      <c r="E1148" s="34" t="s">
        <v>170</v>
      </c>
      <c r="F1148" s="33" t="s">
        <v>167</v>
      </c>
    </row>
    <row r="1149" spans="1:6" ht="15" thickBot="1">
      <c r="A1149" s="31">
        <v>7706089</v>
      </c>
      <c r="B1149" s="32">
        <v>135000</v>
      </c>
      <c r="C1149" s="33" t="s">
        <v>282</v>
      </c>
      <c r="D1149" s="33" t="s">
        <v>161</v>
      </c>
      <c r="E1149" s="33" t="s">
        <v>162</v>
      </c>
      <c r="F1149" s="33" t="s">
        <v>167</v>
      </c>
    </row>
    <row r="1150" spans="1:6" ht="15" thickBot="1">
      <c r="A1150" s="31">
        <v>7706510</v>
      </c>
      <c r="B1150" s="32">
        <v>8500000</v>
      </c>
      <c r="C1150" s="33" t="s">
        <v>364</v>
      </c>
      <c r="D1150" s="33" t="s">
        <v>174</v>
      </c>
      <c r="E1150" s="33" t="s">
        <v>166</v>
      </c>
      <c r="F1150" s="33" t="s">
        <v>163</v>
      </c>
    </row>
    <row r="1151" spans="1:6" ht="29" thickBot="1">
      <c r="A1151" s="31">
        <v>7707115</v>
      </c>
      <c r="B1151" s="32">
        <v>18000000</v>
      </c>
      <c r="C1151" s="33" t="s">
        <v>330</v>
      </c>
      <c r="D1151" s="33" t="s">
        <v>174</v>
      </c>
      <c r="E1151" s="33" t="s">
        <v>166</v>
      </c>
      <c r="F1151" s="33" t="s">
        <v>163</v>
      </c>
    </row>
    <row r="1152" spans="1:6" ht="15" thickBot="1">
      <c r="A1152" s="31">
        <v>7707772</v>
      </c>
      <c r="B1152" s="32">
        <v>37000000</v>
      </c>
      <c r="C1152" s="33" t="s">
        <v>204</v>
      </c>
      <c r="D1152" s="33" t="s">
        <v>174</v>
      </c>
      <c r="E1152" s="33" t="s">
        <v>166</v>
      </c>
      <c r="F1152" s="33" t="s">
        <v>163</v>
      </c>
    </row>
    <row r="1153" spans="1:6" ht="15" thickBot="1">
      <c r="A1153" s="31">
        <v>7710629</v>
      </c>
      <c r="B1153" s="32">
        <v>66000000</v>
      </c>
      <c r="C1153" s="33" t="s">
        <v>177</v>
      </c>
      <c r="D1153" s="33" t="s">
        <v>161</v>
      </c>
      <c r="E1153" s="33" t="s">
        <v>162</v>
      </c>
      <c r="F1153" s="33" t="s">
        <v>163</v>
      </c>
    </row>
    <row r="1154" spans="1:6" ht="15" thickBot="1">
      <c r="A1154" s="31">
        <v>7710897</v>
      </c>
      <c r="B1154" s="32">
        <v>7500000</v>
      </c>
      <c r="C1154" s="33" t="s">
        <v>180</v>
      </c>
      <c r="D1154" s="33" t="s">
        <v>165</v>
      </c>
      <c r="E1154" s="33" t="s">
        <v>166</v>
      </c>
      <c r="F1154" s="33" t="s">
        <v>163</v>
      </c>
    </row>
    <row r="1155" spans="1:6" ht="15" thickBot="1">
      <c r="A1155" s="31">
        <v>7710922</v>
      </c>
      <c r="B1155" s="32">
        <v>6000000</v>
      </c>
      <c r="C1155" s="33" t="s">
        <v>180</v>
      </c>
      <c r="D1155" s="33" t="s">
        <v>165</v>
      </c>
      <c r="E1155" s="33" t="s">
        <v>166</v>
      </c>
      <c r="F1155" s="33" t="s">
        <v>163</v>
      </c>
    </row>
    <row r="1156" spans="1:6" ht="15" thickBot="1">
      <c r="A1156" s="31">
        <v>7710954</v>
      </c>
      <c r="B1156" s="32">
        <v>3800000</v>
      </c>
      <c r="C1156" s="33" t="s">
        <v>180</v>
      </c>
      <c r="D1156" s="33" t="s">
        <v>165</v>
      </c>
      <c r="E1156" s="33" t="s">
        <v>166</v>
      </c>
      <c r="F1156" s="33" t="s">
        <v>163</v>
      </c>
    </row>
    <row r="1157" spans="1:6" ht="15" thickBot="1">
      <c r="A1157" s="31">
        <v>7710993</v>
      </c>
      <c r="B1157" s="32">
        <v>2700000</v>
      </c>
      <c r="C1157" s="33" t="s">
        <v>180</v>
      </c>
      <c r="D1157" s="33" t="s">
        <v>165</v>
      </c>
      <c r="E1157" s="33" t="s">
        <v>166</v>
      </c>
      <c r="F1157" s="33" t="s">
        <v>163</v>
      </c>
    </row>
    <row r="1158" spans="1:6" ht="29" thickBot="1">
      <c r="A1158" s="31">
        <v>7712002</v>
      </c>
      <c r="B1158" s="32">
        <v>9000000</v>
      </c>
      <c r="C1158" s="33" t="s">
        <v>365</v>
      </c>
      <c r="D1158" s="33" t="s">
        <v>174</v>
      </c>
      <c r="E1158" s="33" t="s">
        <v>166</v>
      </c>
      <c r="F1158" s="33" t="s">
        <v>163</v>
      </c>
    </row>
    <row r="1159" spans="1:6" ht="15" thickBot="1">
      <c r="A1159" s="31">
        <v>7712018</v>
      </c>
      <c r="B1159" s="32">
        <v>4800000</v>
      </c>
      <c r="C1159" s="33" t="s">
        <v>196</v>
      </c>
      <c r="D1159" s="33" t="s">
        <v>161</v>
      </c>
      <c r="E1159" s="33" t="s">
        <v>162</v>
      </c>
      <c r="F1159" s="33" t="s">
        <v>163</v>
      </c>
    </row>
    <row r="1160" spans="1:6" ht="15" thickBot="1">
      <c r="A1160" s="31">
        <v>7712183</v>
      </c>
      <c r="B1160" s="32">
        <v>22500000</v>
      </c>
      <c r="C1160" s="33" t="s">
        <v>306</v>
      </c>
      <c r="D1160" s="33" t="s">
        <v>174</v>
      </c>
      <c r="E1160" s="33" t="s">
        <v>166</v>
      </c>
      <c r="F1160" s="33" t="s">
        <v>163</v>
      </c>
    </row>
    <row r="1161" spans="1:6" ht="15" thickBot="1">
      <c r="A1161" s="31">
        <v>7712647</v>
      </c>
      <c r="B1161" s="32">
        <v>137500000</v>
      </c>
      <c r="C1161" s="33" t="s">
        <v>298</v>
      </c>
      <c r="D1161" s="33" t="s">
        <v>174</v>
      </c>
      <c r="E1161" s="33" t="s">
        <v>166</v>
      </c>
      <c r="F1161" s="33" t="s">
        <v>163</v>
      </c>
    </row>
    <row r="1162" spans="1:6" ht="15" thickBot="1">
      <c r="A1162" s="31">
        <v>7715036</v>
      </c>
      <c r="B1162" s="32">
        <v>6500000</v>
      </c>
      <c r="C1162" s="33" t="s">
        <v>366</v>
      </c>
      <c r="D1162" s="33" t="s">
        <v>174</v>
      </c>
      <c r="E1162" s="33" t="s">
        <v>166</v>
      </c>
      <c r="F1162" s="33" t="s">
        <v>163</v>
      </c>
    </row>
    <row r="1163" spans="1:6" ht="15" thickBot="1">
      <c r="A1163" s="31">
        <v>7716229</v>
      </c>
      <c r="B1163" s="32">
        <v>12500000</v>
      </c>
      <c r="C1163" s="33" t="s">
        <v>180</v>
      </c>
      <c r="D1163" s="33" t="s">
        <v>165</v>
      </c>
      <c r="E1163" s="33" t="s">
        <v>166</v>
      </c>
      <c r="F1163" s="33" t="s">
        <v>163</v>
      </c>
    </row>
    <row r="1164" spans="1:6" ht="15" thickBot="1">
      <c r="A1164" s="31">
        <v>7720060</v>
      </c>
      <c r="B1164" s="32">
        <v>35000000</v>
      </c>
      <c r="C1164" s="33" t="s">
        <v>179</v>
      </c>
      <c r="D1164" s="33" t="s">
        <v>165</v>
      </c>
      <c r="E1164" s="33" t="s">
        <v>166</v>
      </c>
      <c r="F1164" s="33" t="s">
        <v>163</v>
      </c>
    </row>
    <row r="1165" spans="1:6" ht="15" thickBot="1">
      <c r="A1165" s="31">
        <v>7721160</v>
      </c>
      <c r="B1165" s="32">
        <v>6200000</v>
      </c>
      <c r="C1165" s="33" t="s">
        <v>367</v>
      </c>
      <c r="D1165" s="33" t="s">
        <v>165</v>
      </c>
      <c r="E1165" s="33" t="s">
        <v>166</v>
      </c>
      <c r="F1165" s="33" t="s">
        <v>163</v>
      </c>
    </row>
    <row r="1166" spans="1:6" ht="15" thickBot="1">
      <c r="A1166" s="31">
        <v>7721611</v>
      </c>
      <c r="B1166" s="32">
        <v>9000000</v>
      </c>
      <c r="C1166" s="33" t="s">
        <v>284</v>
      </c>
      <c r="D1166" s="33" t="s">
        <v>174</v>
      </c>
      <c r="E1166" s="33" t="s">
        <v>166</v>
      </c>
      <c r="F1166" s="33" t="s">
        <v>163</v>
      </c>
    </row>
    <row r="1167" spans="1:6" ht="15" thickBot="1">
      <c r="A1167" s="31">
        <v>7722242</v>
      </c>
      <c r="B1167" s="32">
        <v>14500000</v>
      </c>
      <c r="C1167" s="33" t="s">
        <v>272</v>
      </c>
      <c r="D1167" s="33" t="s">
        <v>161</v>
      </c>
      <c r="E1167" s="33" t="s">
        <v>162</v>
      </c>
      <c r="F1167" s="33" t="s">
        <v>163</v>
      </c>
    </row>
    <row r="1168" spans="1:6" ht="15" thickBot="1">
      <c r="A1168" s="31">
        <v>7724878</v>
      </c>
      <c r="B1168" s="32">
        <v>30000000</v>
      </c>
      <c r="C1168" s="33" t="s">
        <v>177</v>
      </c>
      <c r="D1168" s="33" t="s">
        <v>174</v>
      </c>
      <c r="E1168" s="33" t="s">
        <v>166</v>
      </c>
      <c r="F1168" s="33" t="s">
        <v>163</v>
      </c>
    </row>
    <row r="1169" spans="1:6" ht="15" thickBot="1">
      <c r="A1169" s="31">
        <v>7725599</v>
      </c>
      <c r="B1169" s="32">
        <v>100000</v>
      </c>
      <c r="C1169" s="33" t="s">
        <v>177</v>
      </c>
      <c r="D1169" s="33" t="s">
        <v>169</v>
      </c>
      <c r="E1169" s="34" t="s">
        <v>170</v>
      </c>
      <c r="F1169" s="33" t="s">
        <v>167</v>
      </c>
    </row>
    <row r="1170" spans="1:6" ht="15" thickBot="1">
      <c r="A1170" s="31">
        <v>7725692</v>
      </c>
      <c r="B1170" s="32">
        <v>120000</v>
      </c>
      <c r="C1170" s="33" t="s">
        <v>177</v>
      </c>
      <c r="D1170" s="33" t="s">
        <v>169</v>
      </c>
      <c r="E1170" s="34" t="s">
        <v>170</v>
      </c>
      <c r="F1170" s="33" t="s">
        <v>167</v>
      </c>
    </row>
    <row r="1171" spans="1:6" ht="15" thickBot="1">
      <c r="A1171" s="31">
        <v>7726064</v>
      </c>
      <c r="B1171" s="32">
        <v>100000</v>
      </c>
      <c r="C1171" s="33" t="s">
        <v>177</v>
      </c>
      <c r="D1171" s="33" t="s">
        <v>169</v>
      </c>
      <c r="E1171" s="34" t="s">
        <v>170</v>
      </c>
      <c r="F1171" s="33" t="s">
        <v>167</v>
      </c>
    </row>
    <row r="1172" spans="1:6" ht="15" thickBot="1">
      <c r="A1172" s="31">
        <v>7726783</v>
      </c>
      <c r="B1172" s="32">
        <v>3800000</v>
      </c>
      <c r="C1172" s="33" t="s">
        <v>368</v>
      </c>
      <c r="D1172" s="33" t="s">
        <v>174</v>
      </c>
      <c r="E1172" s="33" t="s">
        <v>166</v>
      </c>
      <c r="F1172" s="33" t="s">
        <v>163</v>
      </c>
    </row>
    <row r="1173" spans="1:6" ht="15" thickBot="1">
      <c r="A1173" s="31">
        <v>7729420</v>
      </c>
      <c r="B1173" s="32">
        <v>21500000</v>
      </c>
      <c r="C1173" s="33" t="s">
        <v>352</v>
      </c>
      <c r="D1173" s="33" t="s">
        <v>174</v>
      </c>
      <c r="E1173" s="33" t="s">
        <v>166</v>
      </c>
      <c r="F1173" s="33" t="s">
        <v>163</v>
      </c>
    </row>
    <row r="1174" spans="1:6" ht="29" thickBot="1">
      <c r="A1174" s="31">
        <v>7729989</v>
      </c>
      <c r="B1174" s="32">
        <v>95000000</v>
      </c>
      <c r="C1174" s="33" t="s">
        <v>261</v>
      </c>
      <c r="D1174" s="33" t="s">
        <v>161</v>
      </c>
      <c r="E1174" s="33" t="s">
        <v>162</v>
      </c>
      <c r="F1174" s="33" t="s">
        <v>163</v>
      </c>
    </row>
    <row r="1175" spans="1:6" ht="29" thickBot="1">
      <c r="A1175" s="31">
        <v>7730023</v>
      </c>
      <c r="B1175" s="32">
        <v>172500000</v>
      </c>
      <c r="C1175" s="33" t="s">
        <v>261</v>
      </c>
      <c r="D1175" s="33" t="s">
        <v>161</v>
      </c>
      <c r="E1175" s="33" t="s">
        <v>162</v>
      </c>
      <c r="F1175" s="33" t="s">
        <v>163</v>
      </c>
    </row>
    <row r="1176" spans="1:6" ht="15" thickBot="1">
      <c r="A1176" s="31">
        <v>7730487</v>
      </c>
      <c r="B1176" s="32">
        <v>16200000</v>
      </c>
      <c r="C1176" s="33" t="s">
        <v>306</v>
      </c>
      <c r="D1176" s="33" t="s">
        <v>174</v>
      </c>
      <c r="E1176" s="33" t="s">
        <v>166</v>
      </c>
      <c r="F1176" s="33" t="s">
        <v>163</v>
      </c>
    </row>
    <row r="1177" spans="1:6" ht="15" thickBot="1">
      <c r="A1177" s="31">
        <v>7730778</v>
      </c>
      <c r="B1177" s="32">
        <v>9500000</v>
      </c>
      <c r="C1177" s="33" t="s">
        <v>230</v>
      </c>
      <c r="D1177" s="33" t="s">
        <v>161</v>
      </c>
      <c r="E1177" s="33" t="s">
        <v>162</v>
      </c>
      <c r="F1177" s="33" t="s">
        <v>163</v>
      </c>
    </row>
    <row r="1178" spans="1:6" ht="15" thickBot="1">
      <c r="A1178" s="31">
        <v>7730829</v>
      </c>
      <c r="B1178" s="32">
        <v>6700000</v>
      </c>
      <c r="C1178" s="33" t="s">
        <v>369</v>
      </c>
      <c r="D1178" s="33" t="s">
        <v>174</v>
      </c>
      <c r="E1178" s="33" t="s">
        <v>166</v>
      </c>
      <c r="F1178" s="33" t="s">
        <v>163</v>
      </c>
    </row>
    <row r="1179" spans="1:6" ht="15" thickBot="1">
      <c r="A1179" s="31">
        <v>7731571</v>
      </c>
      <c r="B1179" s="32">
        <v>10000000</v>
      </c>
      <c r="C1179" s="33" t="s">
        <v>187</v>
      </c>
      <c r="D1179" s="33" t="s">
        <v>161</v>
      </c>
      <c r="E1179" s="33" t="s">
        <v>162</v>
      </c>
      <c r="F1179" s="33" t="s">
        <v>163</v>
      </c>
    </row>
    <row r="1180" spans="1:6" ht="15" thickBot="1">
      <c r="A1180" s="31">
        <v>7734407</v>
      </c>
      <c r="B1180" s="32">
        <v>2997000</v>
      </c>
      <c r="C1180" s="33" t="s">
        <v>215</v>
      </c>
      <c r="D1180" s="33" t="s">
        <v>169</v>
      </c>
      <c r="E1180" s="34" t="s">
        <v>170</v>
      </c>
      <c r="F1180" s="33" t="s">
        <v>163</v>
      </c>
    </row>
    <row r="1181" spans="1:6" ht="15" thickBot="1">
      <c r="A1181" s="31">
        <v>7738317</v>
      </c>
      <c r="B1181" s="32">
        <v>14500000</v>
      </c>
      <c r="C1181" s="33" t="s">
        <v>350</v>
      </c>
      <c r="D1181" s="33" t="s">
        <v>174</v>
      </c>
      <c r="E1181" s="33" t="s">
        <v>166</v>
      </c>
      <c r="F1181" s="33" t="s">
        <v>163</v>
      </c>
    </row>
    <row r="1182" spans="1:6" ht="15" thickBot="1">
      <c r="A1182" s="31">
        <v>7738462</v>
      </c>
      <c r="B1182" s="32">
        <v>28000000</v>
      </c>
      <c r="C1182" s="33" t="s">
        <v>204</v>
      </c>
      <c r="D1182" s="33" t="s">
        <v>169</v>
      </c>
      <c r="E1182" s="34" t="s">
        <v>170</v>
      </c>
      <c r="F1182" s="33" t="s">
        <v>163</v>
      </c>
    </row>
    <row r="1183" spans="1:6" ht="15" thickBot="1">
      <c r="A1183" s="31">
        <v>7739226</v>
      </c>
      <c r="B1183" s="32">
        <v>8500000</v>
      </c>
      <c r="C1183" s="33" t="s">
        <v>370</v>
      </c>
      <c r="D1183" s="33" t="s">
        <v>169</v>
      </c>
      <c r="E1183" s="34" t="s">
        <v>170</v>
      </c>
      <c r="F1183" s="33" t="s">
        <v>163</v>
      </c>
    </row>
    <row r="1184" spans="1:6" ht="15" thickBot="1">
      <c r="A1184" s="31">
        <v>7740024</v>
      </c>
      <c r="B1184" s="32">
        <v>17500000</v>
      </c>
      <c r="C1184" s="33" t="s">
        <v>185</v>
      </c>
      <c r="D1184" s="33" t="s">
        <v>174</v>
      </c>
      <c r="E1184" s="33" t="s">
        <v>166</v>
      </c>
      <c r="F1184" s="33" t="s">
        <v>163</v>
      </c>
    </row>
    <row r="1185" spans="1:6" ht="15" thickBot="1">
      <c r="A1185" s="31">
        <v>7741759</v>
      </c>
      <c r="B1185" s="32">
        <v>185000000</v>
      </c>
      <c r="C1185" s="33" t="s">
        <v>177</v>
      </c>
      <c r="D1185" s="33" t="s">
        <v>161</v>
      </c>
      <c r="E1185" s="33" t="s">
        <v>162</v>
      </c>
      <c r="F1185" s="33" t="s">
        <v>163</v>
      </c>
    </row>
    <row r="1186" spans="1:6" ht="15" thickBot="1">
      <c r="A1186" s="31">
        <v>7743430</v>
      </c>
      <c r="B1186" s="32">
        <v>18000000</v>
      </c>
      <c r="C1186" s="33" t="s">
        <v>180</v>
      </c>
      <c r="D1186" s="33" t="s">
        <v>165</v>
      </c>
      <c r="E1186" s="33" t="s">
        <v>166</v>
      </c>
      <c r="F1186" s="33" t="s">
        <v>163</v>
      </c>
    </row>
    <row r="1187" spans="1:6" ht="29" thickBot="1">
      <c r="A1187" s="31">
        <v>7743459</v>
      </c>
      <c r="B1187" s="32">
        <v>4666000</v>
      </c>
      <c r="C1187" s="33" t="s">
        <v>286</v>
      </c>
      <c r="D1187" s="33" t="s">
        <v>161</v>
      </c>
      <c r="E1187" s="33" t="s">
        <v>162</v>
      </c>
      <c r="F1187" s="33" t="s">
        <v>163</v>
      </c>
    </row>
    <row r="1188" spans="1:6" ht="29" thickBot="1">
      <c r="A1188" s="31">
        <v>7743721</v>
      </c>
      <c r="B1188" s="32">
        <v>10100000</v>
      </c>
      <c r="C1188" s="33" t="s">
        <v>286</v>
      </c>
      <c r="D1188" s="33" t="s">
        <v>161</v>
      </c>
      <c r="E1188" s="33" t="s">
        <v>162</v>
      </c>
      <c r="F1188" s="33" t="s">
        <v>163</v>
      </c>
    </row>
    <row r="1189" spans="1:6" ht="29" thickBot="1">
      <c r="A1189" s="31">
        <v>7744578</v>
      </c>
      <c r="B1189" s="32">
        <v>4090000</v>
      </c>
      <c r="C1189" s="33" t="s">
        <v>286</v>
      </c>
      <c r="D1189" s="33" t="s">
        <v>161</v>
      </c>
      <c r="E1189" s="33" t="s">
        <v>162</v>
      </c>
      <c r="F1189" s="33" t="s">
        <v>163</v>
      </c>
    </row>
    <row r="1190" spans="1:6" ht="29" thickBot="1">
      <c r="A1190" s="31">
        <v>7744786</v>
      </c>
      <c r="B1190" s="32">
        <v>4797000</v>
      </c>
      <c r="C1190" s="33" t="s">
        <v>286</v>
      </c>
      <c r="D1190" s="33" t="s">
        <v>161</v>
      </c>
      <c r="E1190" s="33" t="s">
        <v>162</v>
      </c>
      <c r="F1190" s="33" t="s">
        <v>163</v>
      </c>
    </row>
    <row r="1191" spans="1:6" ht="15" thickBot="1">
      <c r="A1191" s="31">
        <v>7746131</v>
      </c>
      <c r="B1191" s="32">
        <v>5136000</v>
      </c>
      <c r="C1191" s="33" t="s">
        <v>285</v>
      </c>
      <c r="D1191" s="33" t="s">
        <v>161</v>
      </c>
      <c r="E1191" s="33" t="s">
        <v>162</v>
      </c>
      <c r="F1191" s="33" t="s">
        <v>163</v>
      </c>
    </row>
    <row r="1192" spans="1:6" ht="15" thickBot="1">
      <c r="A1192" s="31">
        <v>7746228</v>
      </c>
      <c r="B1192" s="32">
        <v>9000000</v>
      </c>
      <c r="C1192" s="33" t="s">
        <v>371</v>
      </c>
      <c r="D1192" s="33" t="s">
        <v>165</v>
      </c>
      <c r="E1192" s="33" t="s">
        <v>166</v>
      </c>
      <c r="F1192" s="33" t="s">
        <v>163</v>
      </c>
    </row>
    <row r="1193" spans="1:6" ht="15" thickBot="1">
      <c r="A1193" s="31">
        <v>7746565</v>
      </c>
      <c r="B1193" s="32">
        <v>6642000</v>
      </c>
      <c r="C1193" s="33" t="s">
        <v>285</v>
      </c>
      <c r="D1193" s="33" t="s">
        <v>161</v>
      </c>
      <c r="E1193" s="33" t="s">
        <v>162</v>
      </c>
      <c r="F1193" s="33" t="s">
        <v>163</v>
      </c>
    </row>
    <row r="1194" spans="1:6" ht="15" thickBot="1">
      <c r="A1194" s="31">
        <v>7746609</v>
      </c>
      <c r="B1194" s="32">
        <v>9205000</v>
      </c>
      <c r="C1194" s="33" t="s">
        <v>285</v>
      </c>
      <c r="D1194" s="33" t="s">
        <v>161</v>
      </c>
      <c r="E1194" s="33" t="s">
        <v>162</v>
      </c>
      <c r="F1194" s="33" t="s">
        <v>163</v>
      </c>
    </row>
    <row r="1195" spans="1:6" ht="29" thickBot="1">
      <c r="A1195" s="31">
        <v>7746703</v>
      </c>
      <c r="B1195" s="32">
        <v>12500000</v>
      </c>
      <c r="C1195" s="33" t="s">
        <v>286</v>
      </c>
      <c r="D1195" s="33" t="s">
        <v>161</v>
      </c>
      <c r="E1195" s="33" t="s">
        <v>162</v>
      </c>
      <c r="F1195" s="33" t="s">
        <v>163</v>
      </c>
    </row>
    <row r="1196" spans="1:6" ht="15" thickBot="1">
      <c r="A1196" s="31">
        <v>7747477</v>
      </c>
      <c r="B1196" s="32">
        <v>3900000</v>
      </c>
      <c r="C1196" s="33" t="s">
        <v>372</v>
      </c>
      <c r="D1196" s="33" t="s">
        <v>174</v>
      </c>
      <c r="E1196" s="33" t="s">
        <v>166</v>
      </c>
      <c r="F1196" s="33" t="s">
        <v>163</v>
      </c>
    </row>
    <row r="1197" spans="1:6" ht="15" thickBot="1">
      <c r="A1197" s="31">
        <v>7747787</v>
      </c>
      <c r="B1197" s="32">
        <v>145000000</v>
      </c>
      <c r="C1197" s="33" t="s">
        <v>177</v>
      </c>
      <c r="D1197" s="33" t="s">
        <v>161</v>
      </c>
      <c r="E1197" s="33" t="s">
        <v>162</v>
      </c>
      <c r="F1197" s="33" t="s">
        <v>163</v>
      </c>
    </row>
    <row r="1198" spans="1:6" ht="15" thickBot="1">
      <c r="A1198" s="31">
        <v>7747960</v>
      </c>
      <c r="B1198" s="32">
        <v>14500000</v>
      </c>
      <c r="C1198" s="33" t="s">
        <v>240</v>
      </c>
      <c r="D1198" s="33" t="s">
        <v>200</v>
      </c>
      <c r="E1198" s="33" t="s">
        <v>166</v>
      </c>
      <c r="F1198" s="33" t="s">
        <v>163</v>
      </c>
    </row>
    <row r="1199" spans="1:6" ht="15" thickBot="1">
      <c r="A1199" s="31">
        <v>7748019</v>
      </c>
      <c r="B1199" s="32">
        <v>14500000</v>
      </c>
      <c r="C1199" s="33" t="s">
        <v>177</v>
      </c>
      <c r="D1199" s="33" t="s">
        <v>174</v>
      </c>
      <c r="E1199" s="33" t="s">
        <v>166</v>
      </c>
      <c r="F1199" s="33" t="s">
        <v>163</v>
      </c>
    </row>
    <row r="1200" spans="1:6" ht="15" thickBot="1">
      <c r="A1200" s="31">
        <v>7748255</v>
      </c>
      <c r="B1200" s="32">
        <v>8800000</v>
      </c>
      <c r="C1200" s="33" t="s">
        <v>373</v>
      </c>
      <c r="D1200" s="33" t="s">
        <v>174</v>
      </c>
      <c r="E1200" s="33" t="s">
        <v>166</v>
      </c>
      <c r="F1200" s="33" t="s">
        <v>163</v>
      </c>
    </row>
    <row r="1201" spans="1:6" ht="15" thickBot="1">
      <c r="A1201" s="31">
        <v>7748617</v>
      </c>
      <c r="B1201" s="32">
        <v>5800000</v>
      </c>
      <c r="C1201" s="33" t="s">
        <v>164</v>
      </c>
      <c r="D1201" s="33" t="s">
        <v>165</v>
      </c>
      <c r="E1201" s="33" t="s">
        <v>166</v>
      </c>
      <c r="F1201" s="33" t="s">
        <v>163</v>
      </c>
    </row>
    <row r="1202" spans="1:6" ht="15" thickBot="1">
      <c r="A1202" s="31">
        <v>7748770</v>
      </c>
      <c r="B1202" s="32">
        <v>37500000</v>
      </c>
      <c r="C1202" s="33" t="s">
        <v>208</v>
      </c>
      <c r="D1202" s="33" t="s">
        <v>174</v>
      </c>
      <c r="E1202" s="33" t="s">
        <v>166</v>
      </c>
      <c r="F1202" s="33" t="s">
        <v>163</v>
      </c>
    </row>
    <row r="1203" spans="1:6" ht="15" thickBot="1">
      <c r="A1203" s="31">
        <v>7748833</v>
      </c>
      <c r="B1203" s="32">
        <v>39000000</v>
      </c>
      <c r="C1203" s="33" t="s">
        <v>206</v>
      </c>
      <c r="D1203" s="33" t="s">
        <v>174</v>
      </c>
      <c r="E1203" s="33" t="s">
        <v>166</v>
      </c>
      <c r="F1203" s="33" t="s">
        <v>163</v>
      </c>
    </row>
    <row r="1204" spans="1:6" ht="15" thickBot="1">
      <c r="A1204" s="31">
        <v>7748882</v>
      </c>
      <c r="B1204" s="32">
        <v>26000000</v>
      </c>
      <c r="C1204" s="33" t="s">
        <v>206</v>
      </c>
      <c r="D1204" s="33" t="s">
        <v>174</v>
      </c>
      <c r="E1204" s="33" t="s">
        <v>166</v>
      </c>
      <c r="F1204" s="33" t="s">
        <v>163</v>
      </c>
    </row>
    <row r="1205" spans="1:6" ht="15" thickBot="1">
      <c r="A1205" s="31">
        <v>7749032</v>
      </c>
      <c r="B1205" s="32">
        <v>16500000</v>
      </c>
      <c r="C1205" s="33" t="s">
        <v>171</v>
      </c>
      <c r="D1205" s="33" t="s">
        <v>161</v>
      </c>
      <c r="E1205" s="33" t="s">
        <v>162</v>
      </c>
      <c r="F1205" s="33" t="s">
        <v>163</v>
      </c>
    </row>
    <row r="1206" spans="1:6" ht="29" thickBot="1">
      <c r="A1206" s="31">
        <v>7749121</v>
      </c>
      <c r="B1206" s="32">
        <v>12500000</v>
      </c>
      <c r="C1206" s="33" t="s">
        <v>303</v>
      </c>
      <c r="D1206" s="33" t="s">
        <v>174</v>
      </c>
      <c r="E1206" s="33" t="s">
        <v>166</v>
      </c>
      <c r="F1206" s="33" t="s">
        <v>163</v>
      </c>
    </row>
    <row r="1207" spans="1:6" ht="15" thickBot="1">
      <c r="A1207" s="31">
        <v>7751743</v>
      </c>
      <c r="B1207" s="32">
        <v>21500000</v>
      </c>
      <c r="C1207" s="33" t="s">
        <v>177</v>
      </c>
      <c r="D1207" s="33" t="s">
        <v>174</v>
      </c>
      <c r="E1207" s="33" t="s">
        <v>166</v>
      </c>
      <c r="F1207" s="33" t="s">
        <v>163</v>
      </c>
    </row>
    <row r="1208" spans="1:6" ht="15" thickBot="1">
      <c r="A1208" s="31">
        <v>7753011</v>
      </c>
      <c r="B1208" s="32">
        <v>9700000</v>
      </c>
      <c r="C1208" s="33" t="s">
        <v>276</v>
      </c>
      <c r="D1208" s="33" t="s">
        <v>165</v>
      </c>
      <c r="E1208" s="33" t="s">
        <v>166</v>
      </c>
      <c r="F1208" s="33" t="s">
        <v>163</v>
      </c>
    </row>
    <row r="1209" spans="1:6" ht="15" thickBot="1">
      <c r="A1209" s="31">
        <v>7759019</v>
      </c>
      <c r="B1209" s="32">
        <v>32500000</v>
      </c>
      <c r="C1209" s="33" t="s">
        <v>177</v>
      </c>
      <c r="D1209" s="33" t="s">
        <v>174</v>
      </c>
      <c r="E1209" s="33" t="s">
        <v>166</v>
      </c>
      <c r="F1209" s="33" t="s">
        <v>163</v>
      </c>
    </row>
    <row r="1210" spans="1:6" ht="15" thickBot="1">
      <c r="A1210" s="31">
        <v>7759021</v>
      </c>
      <c r="B1210" s="32">
        <v>12500000</v>
      </c>
      <c r="C1210" s="33" t="s">
        <v>327</v>
      </c>
      <c r="D1210" s="33" t="s">
        <v>174</v>
      </c>
      <c r="E1210" s="33" t="s">
        <v>166</v>
      </c>
      <c r="F1210" s="33" t="s">
        <v>163</v>
      </c>
    </row>
    <row r="1211" spans="1:6" ht="15" thickBot="1">
      <c r="A1211" s="31">
        <v>7760626</v>
      </c>
      <c r="B1211" s="32">
        <v>230000</v>
      </c>
      <c r="C1211" s="33" t="s">
        <v>262</v>
      </c>
      <c r="D1211" s="33" t="s">
        <v>169</v>
      </c>
      <c r="E1211" s="34" t="s">
        <v>170</v>
      </c>
      <c r="F1211" s="33" t="s">
        <v>167</v>
      </c>
    </row>
    <row r="1212" spans="1:6" ht="15" thickBot="1">
      <c r="A1212" s="31">
        <v>7762551</v>
      </c>
      <c r="B1212" s="32">
        <v>35500000</v>
      </c>
      <c r="C1212" s="33" t="s">
        <v>206</v>
      </c>
      <c r="D1212" s="33" t="s">
        <v>174</v>
      </c>
      <c r="E1212" s="33" t="s">
        <v>166</v>
      </c>
      <c r="F1212" s="33" t="s">
        <v>163</v>
      </c>
    </row>
    <row r="1213" spans="1:6" ht="15" thickBot="1">
      <c r="A1213" s="31">
        <v>7762696</v>
      </c>
      <c r="B1213" s="32">
        <v>12500000</v>
      </c>
      <c r="C1213" s="33" t="s">
        <v>374</v>
      </c>
      <c r="D1213" s="33" t="s">
        <v>174</v>
      </c>
      <c r="E1213" s="33" t="s">
        <v>166</v>
      </c>
      <c r="F1213" s="33" t="s">
        <v>163</v>
      </c>
    </row>
    <row r="1214" spans="1:6" ht="15" thickBot="1">
      <c r="A1214" s="31">
        <v>7762954</v>
      </c>
      <c r="B1214" s="32">
        <v>33500000</v>
      </c>
      <c r="C1214" s="33" t="s">
        <v>195</v>
      </c>
      <c r="D1214" s="33" t="s">
        <v>174</v>
      </c>
      <c r="E1214" s="33" t="s">
        <v>166</v>
      </c>
      <c r="F1214" s="33" t="s">
        <v>163</v>
      </c>
    </row>
    <row r="1215" spans="1:6" ht="15" thickBot="1">
      <c r="A1215" s="31">
        <v>7763486</v>
      </c>
      <c r="B1215" s="32">
        <v>17500000</v>
      </c>
      <c r="C1215" s="33" t="s">
        <v>225</v>
      </c>
      <c r="D1215" s="33" t="s">
        <v>165</v>
      </c>
      <c r="E1215" s="33" t="s">
        <v>166</v>
      </c>
      <c r="F1215" s="33" t="s">
        <v>163</v>
      </c>
    </row>
    <row r="1216" spans="1:6" ht="15" thickBot="1">
      <c r="A1216" s="31">
        <v>7765873</v>
      </c>
      <c r="B1216" s="32">
        <v>28300000</v>
      </c>
      <c r="C1216" s="33" t="s">
        <v>177</v>
      </c>
      <c r="D1216" s="33" t="s">
        <v>174</v>
      </c>
      <c r="E1216" s="33" t="s">
        <v>166</v>
      </c>
      <c r="F1216" s="33" t="s">
        <v>163</v>
      </c>
    </row>
    <row r="1217" spans="1:6" ht="15" thickBot="1">
      <c r="A1217" s="31">
        <v>7766241</v>
      </c>
      <c r="B1217" s="32">
        <v>9000000</v>
      </c>
      <c r="C1217" s="33" t="s">
        <v>371</v>
      </c>
      <c r="D1217" s="33" t="s">
        <v>174</v>
      </c>
      <c r="E1217" s="33" t="s">
        <v>166</v>
      </c>
      <c r="F1217" s="33" t="s">
        <v>163</v>
      </c>
    </row>
    <row r="1218" spans="1:6" ht="15" thickBot="1">
      <c r="A1218" s="31">
        <v>7766261</v>
      </c>
      <c r="B1218" s="32">
        <v>19500000</v>
      </c>
      <c r="C1218" s="33" t="s">
        <v>204</v>
      </c>
      <c r="D1218" s="33" t="s">
        <v>174</v>
      </c>
      <c r="E1218" s="33" t="s">
        <v>166</v>
      </c>
      <c r="F1218" s="33" t="s">
        <v>163</v>
      </c>
    </row>
    <row r="1219" spans="1:6" ht="15" thickBot="1">
      <c r="A1219" s="31">
        <v>7766270</v>
      </c>
      <c r="B1219" s="32">
        <v>19000000</v>
      </c>
      <c r="C1219" s="33" t="s">
        <v>185</v>
      </c>
      <c r="D1219" s="33" t="s">
        <v>174</v>
      </c>
      <c r="E1219" s="33" t="s">
        <v>166</v>
      </c>
      <c r="F1219" s="33" t="s">
        <v>163</v>
      </c>
    </row>
    <row r="1220" spans="1:6" ht="15" thickBot="1">
      <c r="A1220" s="31">
        <v>7766329</v>
      </c>
      <c r="B1220" s="32">
        <v>9000000</v>
      </c>
      <c r="C1220" s="33" t="s">
        <v>371</v>
      </c>
      <c r="D1220" s="33" t="s">
        <v>174</v>
      </c>
      <c r="E1220" s="33" t="s">
        <v>166</v>
      </c>
      <c r="F1220" s="33" t="s">
        <v>163</v>
      </c>
    </row>
    <row r="1221" spans="1:6" ht="15" thickBot="1">
      <c r="A1221" s="31">
        <v>7766777</v>
      </c>
      <c r="B1221" s="32">
        <v>90000</v>
      </c>
      <c r="C1221" s="33" t="s">
        <v>204</v>
      </c>
      <c r="D1221" s="33" t="s">
        <v>169</v>
      </c>
      <c r="E1221" s="34" t="s">
        <v>170</v>
      </c>
      <c r="F1221" s="33" t="s">
        <v>167</v>
      </c>
    </row>
    <row r="1222" spans="1:6" ht="15" thickBot="1">
      <c r="A1222" s="31">
        <v>7766785</v>
      </c>
      <c r="B1222" s="32">
        <v>45000000</v>
      </c>
      <c r="C1222" s="33" t="s">
        <v>179</v>
      </c>
      <c r="D1222" s="33" t="s">
        <v>165</v>
      </c>
      <c r="E1222" s="33" t="s">
        <v>166</v>
      </c>
      <c r="F1222" s="33" t="s">
        <v>163</v>
      </c>
    </row>
    <row r="1223" spans="1:6" ht="15" thickBot="1">
      <c r="A1223" s="31">
        <v>7766796</v>
      </c>
      <c r="B1223" s="32">
        <v>50000</v>
      </c>
      <c r="C1223" s="33" t="s">
        <v>204</v>
      </c>
      <c r="D1223" s="33" t="s">
        <v>169</v>
      </c>
      <c r="E1223" s="34" t="s">
        <v>170</v>
      </c>
      <c r="F1223" s="33" t="s">
        <v>167</v>
      </c>
    </row>
    <row r="1224" spans="1:6" ht="15" thickBot="1">
      <c r="A1224" s="31">
        <v>7766906</v>
      </c>
      <c r="B1224" s="32">
        <v>6500000</v>
      </c>
      <c r="C1224" s="33" t="s">
        <v>375</v>
      </c>
      <c r="D1224" s="33" t="s">
        <v>200</v>
      </c>
      <c r="E1224" s="33" t="s">
        <v>166</v>
      </c>
      <c r="F1224" s="33" t="s">
        <v>163</v>
      </c>
    </row>
    <row r="1225" spans="1:6" ht="15" thickBot="1">
      <c r="A1225" s="31">
        <v>7769899</v>
      </c>
      <c r="B1225" s="32">
        <v>22500000</v>
      </c>
      <c r="C1225" s="33" t="s">
        <v>180</v>
      </c>
      <c r="D1225" s="33" t="s">
        <v>165</v>
      </c>
      <c r="E1225" s="33" t="s">
        <v>166</v>
      </c>
      <c r="F1225" s="33" t="s">
        <v>163</v>
      </c>
    </row>
    <row r="1226" spans="1:6" ht="15" thickBot="1">
      <c r="A1226" s="31">
        <v>7770385</v>
      </c>
      <c r="B1226" s="32">
        <v>23000000</v>
      </c>
      <c r="C1226" s="33" t="s">
        <v>177</v>
      </c>
      <c r="D1226" s="33" t="s">
        <v>174</v>
      </c>
      <c r="E1226" s="33" t="s">
        <v>166</v>
      </c>
      <c r="F1226" s="33" t="s">
        <v>163</v>
      </c>
    </row>
    <row r="1227" spans="1:6" ht="15" thickBot="1">
      <c r="A1227" s="31">
        <v>7770745</v>
      </c>
      <c r="B1227" s="32">
        <v>29000000</v>
      </c>
      <c r="C1227" s="33" t="s">
        <v>177</v>
      </c>
      <c r="D1227" s="33" t="s">
        <v>174</v>
      </c>
      <c r="E1227" s="33" t="s">
        <v>166</v>
      </c>
      <c r="F1227" s="33" t="s">
        <v>163</v>
      </c>
    </row>
    <row r="1228" spans="1:6" ht="15" thickBot="1">
      <c r="A1228" s="31">
        <v>7777477</v>
      </c>
      <c r="B1228" s="32">
        <v>4950000</v>
      </c>
      <c r="C1228" s="33" t="s">
        <v>376</v>
      </c>
      <c r="D1228" s="33" t="s">
        <v>174</v>
      </c>
      <c r="E1228" s="33" t="s">
        <v>166</v>
      </c>
      <c r="F1228" s="33" t="s">
        <v>163</v>
      </c>
    </row>
    <row r="1229" spans="1:6" ht="15" thickBot="1">
      <c r="A1229" s="31">
        <v>7780583</v>
      </c>
      <c r="B1229" s="32">
        <v>16000000</v>
      </c>
      <c r="C1229" s="33" t="s">
        <v>377</v>
      </c>
      <c r="D1229" s="33" t="s">
        <v>174</v>
      </c>
      <c r="E1229" s="33" t="s">
        <v>166</v>
      </c>
      <c r="F1229" s="33" t="s">
        <v>163</v>
      </c>
    </row>
    <row r="1230" spans="1:6" ht="15" thickBot="1">
      <c r="A1230" s="31">
        <v>7780897</v>
      </c>
      <c r="B1230" s="32">
        <v>8500000</v>
      </c>
      <c r="C1230" s="33" t="s">
        <v>378</v>
      </c>
      <c r="D1230" s="33" t="s">
        <v>174</v>
      </c>
      <c r="E1230" s="33" t="s">
        <v>166</v>
      </c>
      <c r="F1230" s="33" t="s">
        <v>163</v>
      </c>
    </row>
    <row r="1231" spans="1:6" ht="15" thickBot="1">
      <c r="A1231" s="31">
        <v>7782546</v>
      </c>
      <c r="B1231" s="32">
        <v>75000</v>
      </c>
      <c r="C1231" s="33" t="s">
        <v>179</v>
      </c>
      <c r="D1231" s="33" t="s">
        <v>165</v>
      </c>
      <c r="E1231" s="33" t="s">
        <v>166</v>
      </c>
      <c r="F1231" s="33" t="s">
        <v>167</v>
      </c>
    </row>
    <row r="1232" spans="1:6" ht="15" thickBot="1">
      <c r="A1232" s="31">
        <v>7782741</v>
      </c>
      <c r="B1232" s="32">
        <v>85000</v>
      </c>
      <c r="C1232" s="33" t="s">
        <v>179</v>
      </c>
      <c r="D1232" s="33" t="s">
        <v>165</v>
      </c>
      <c r="E1232" s="33" t="s">
        <v>166</v>
      </c>
      <c r="F1232" s="33" t="s">
        <v>167</v>
      </c>
    </row>
    <row r="1233" spans="1:6" ht="15" thickBot="1">
      <c r="A1233" s="31">
        <v>7785414</v>
      </c>
      <c r="B1233" s="32">
        <v>41000000</v>
      </c>
      <c r="C1233" s="33" t="s">
        <v>177</v>
      </c>
      <c r="D1233" s="33" t="s">
        <v>174</v>
      </c>
      <c r="E1233" s="33" t="s">
        <v>166</v>
      </c>
      <c r="F1233" s="33" t="s">
        <v>163</v>
      </c>
    </row>
    <row r="1234" spans="1:6" ht="15" thickBot="1">
      <c r="A1234" s="31">
        <v>7788572</v>
      </c>
      <c r="B1234" s="32">
        <v>45000000</v>
      </c>
      <c r="C1234" s="33" t="s">
        <v>202</v>
      </c>
      <c r="D1234" s="33" t="s">
        <v>174</v>
      </c>
      <c r="E1234" s="33" t="s">
        <v>166</v>
      </c>
      <c r="F1234" s="33" t="s">
        <v>163</v>
      </c>
    </row>
    <row r="1235" spans="1:6" ht="15" thickBot="1">
      <c r="A1235" s="31">
        <v>7790790</v>
      </c>
      <c r="B1235" s="32">
        <v>45000</v>
      </c>
      <c r="C1235" s="33" t="s">
        <v>160</v>
      </c>
      <c r="D1235" s="33" t="s">
        <v>161</v>
      </c>
      <c r="E1235" s="33" t="s">
        <v>162</v>
      </c>
      <c r="F1235" s="33" t="s">
        <v>167</v>
      </c>
    </row>
    <row r="1236" spans="1:6" ht="15" thickBot="1">
      <c r="A1236" s="31">
        <v>7792002</v>
      </c>
      <c r="B1236" s="32">
        <v>35000000</v>
      </c>
      <c r="C1236" s="33" t="s">
        <v>222</v>
      </c>
      <c r="D1236" s="33" t="s">
        <v>174</v>
      </c>
      <c r="E1236" s="33" t="s">
        <v>166</v>
      </c>
      <c r="F1236" s="33" t="s">
        <v>163</v>
      </c>
    </row>
    <row r="1237" spans="1:6" ht="15" thickBot="1">
      <c r="A1237" s="31">
        <v>7792034</v>
      </c>
      <c r="B1237" s="32">
        <v>9000000</v>
      </c>
      <c r="C1237" s="33" t="s">
        <v>379</v>
      </c>
      <c r="D1237" s="33" t="s">
        <v>174</v>
      </c>
      <c r="E1237" s="33" t="s">
        <v>166</v>
      </c>
      <c r="F1237" s="33" t="s">
        <v>163</v>
      </c>
    </row>
    <row r="1238" spans="1:6" ht="15" thickBot="1">
      <c r="A1238" s="31">
        <v>7792216</v>
      </c>
      <c r="B1238" s="32">
        <v>22000000</v>
      </c>
      <c r="C1238" s="33" t="s">
        <v>177</v>
      </c>
      <c r="D1238" s="33" t="s">
        <v>169</v>
      </c>
      <c r="E1238" s="34" t="s">
        <v>170</v>
      </c>
      <c r="F1238" s="33" t="s">
        <v>163</v>
      </c>
    </row>
    <row r="1239" spans="1:6" ht="29" thickBot="1">
      <c r="A1239" s="31">
        <v>7792575</v>
      </c>
      <c r="B1239" s="32">
        <v>11500000</v>
      </c>
      <c r="C1239" s="33" t="s">
        <v>303</v>
      </c>
      <c r="D1239" s="33" t="s">
        <v>174</v>
      </c>
      <c r="E1239" s="33" t="s">
        <v>166</v>
      </c>
      <c r="F1239" s="33" t="s">
        <v>163</v>
      </c>
    </row>
    <row r="1240" spans="1:6" ht="15" thickBot="1">
      <c r="A1240" s="31">
        <v>7794771</v>
      </c>
      <c r="B1240" s="32">
        <v>9500000</v>
      </c>
      <c r="C1240" s="33" t="s">
        <v>257</v>
      </c>
      <c r="D1240" s="33" t="s">
        <v>169</v>
      </c>
      <c r="E1240" s="34" t="s">
        <v>170</v>
      </c>
      <c r="F1240" s="33" t="s">
        <v>163</v>
      </c>
    </row>
    <row r="1241" spans="1:6" ht="15" thickBot="1">
      <c r="A1241" s="31">
        <v>7794824</v>
      </c>
      <c r="B1241" s="32">
        <v>42500000</v>
      </c>
      <c r="C1241" s="33" t="s">
        <v>309</v>
      </c>
      <c r="D1241" s="33" t="s">
        <v>165</v>
      </c>
      <c r="E1241" s="33" t="s">
        <v>166</v>
      </c>
      <c r="F1241" s="33" t="s">
        <v>163</v>
      </c>
    </row>
    <row r="1242" spans="1:6" ht="29" thickBot="1">
      <c r="A1242" s="31">
        <v>7795131</v>
      </c>
      <c r="B1242" s="32">
        <v>11000000</v>
      </c>
      <c r="C1242" s="33" t="s">
        <v>270</v>
      </c>
      <c r="D1242" s="33" t="s">
        <v>165</v>
      </c>
      <c r="E1242" s="33" t="s">
        <v>166</v>
      </c>
      <c r="F1242" s="33" t="s">
        <v>163</v>
      </c>
    </row>
    <row r="1243" spans="1:6" ht="15" thickBot="1">
      <c r="A1243" s="31">
        <v>7795226</v>
      </c>
      <c r="B1243" s="32">
        <v>13500000</v>
      </c>
      <c r="C1243" s="33" t="s">
        <v>160</v>
      </c>
      <c r="D1243" s="33" t="s">
        <v>174</v>
      </c>
      <c r="E1243" s="33" t="s">
        <v>166</v>
      </c>
      <c r="F1243" s="33" t="s">
        <v>163</v>
      </c>
    </row>
    <row r="1244" spans="1:6" ht="15" thickBot="1">
      <c r="A1244" s="31">
        <v>7795281</v>
      </c>
      <c r="B1244" s="32">
        <v>12000000</v>
      </c>
      <c r="C1244" s="33" t="s">
        <v>380</v>
      </c>
      <c r="D1244" s="33" t="s">
        <v>174</v>
      </c>
      <c r="E1244" s="33" t="s">
        <v>166</v>
      </c>
      <c r="F1244" s="33" t="s">
        <v>163</v>
      </c>
    </row>
    <row r="1245" spans="1:6" ht="15" thickBot="1">
      <c r="A1245" s="31">
        <v>7795691</v>
      </c>
      <c r="B1245" s="32">
        <v>6500000</v>
      </c>
      <c r="C1245" s="33" t="s">
        <v>381</v>
      </c>
      <c r="D1245" s="33" t="s">
        <v>174</v>
      </c>
      <c r="E1245" s="33" t="s">
        <v>166</v>
      </c>
      <c r="F1245" s="33" t="s">
        <v>163</v>
      </c>
    </row>
    <row r="1246" spans="1:6" ht="15" thickBot="1">
      <c r="A1246" s="31">
        <v>7796004</v>
      </c>
      <c r="B1246" s="32">
        <v>32500000</v>
      </c>
      <c r="C1246" s="33" t="s">
        <v>309</v>
      </c>
      <c r="D1246" s="33" t="s">
        <v>165</v>
      </c>
      <c r="E1246" s="33" t="s">
        <v>166</v>
      </c>
      <c r="F1246" s="33" t="s">
        <v>163</v>
      </c>
    </row>
    <row r="1247" spans="1:6" ht="15" thickBot="1">
      <c r="A1247" s="31">
        <v>7796005</v>
      </c>
      <c r="B1247" s="32">
        <v>55000000</v>
      </c>
      <c r="C1247" s="33" t="s">
        <v>194</v>
      </c>
      <c r="D1247" s="33" t="s">
        <v>174</v>
      </c>
      <c r="E1247" s="33" t="s">
        <v>166</v>
      </c>
      <c r="F1247" s="33" t="s">
        <v>163</v>
      </c>
    </row>
    <row r="1248" spans="1:6" ht="15" thickBot="1">
      <c r="A1248" s="31">
        <v>7796122</v>
      </c>
      <c r="B1248" s="32">
        <v>90000000</v>
      </c>
      <c r="C1248" s="33" t="s">
        <v>177</v>
      </c>
      <c r="D1248" s="33" t="s">
        <v>161</v>
      </c>
      <c r="E1248" s="33" t="s">
        <v>162</v>
      </c>
      <c r="F1248" s="33" t="s">
        <v>163</v>
      </c>
    </row>
    <row r="1249" spans="1:6" ht="15" thickBot="1">
      <c r="A1249" s="31">
        <v>7796159</v>
      </c>
      <c r="B1249" s="32">
        <v>4500000</v>
      </c>
      <c r="C1249" s="33" t="s">
        <v>382</v>
      </c>
      <c r="D1249" s="33" t="s">
        <v>174</v>
      </c>
      <c r="E1249" s="33" t="s">
        <v>166</v>
      </c>
      <c r="F1249" s="33" t="s">
        <v>163</v>
      </c>
    </row>
    <row r="1250" spans="1:6" ht="15" thickBot="1">
      <c r="A1250" s="31">
        <v>7796214</v>
      </c>
      <c r="B1250" s="32">
        <v>9200000</v>
      </c>
      <c r="C1250" s="33" t="s">
        <v>181</v>
      </c>
      <c r="D1250" s="33" t="s">
        <v>174</v>
      </c>
      <c r="E1250" s="33" t="s">
        <v>166</v>
      </c>
      <c r="F1250" s="33" t="s">
        <v>163</v>
      </c>
    </row>
    <row r="1251" spans="1:6" ht="15" thickBot="1">
      <c r="A1251" s="31">
        <v>7796218</v>
      </c>
      <c r="B1251" s="32">
        <v>18000000</v>
      </c>
      <c r="C1251" s="33" t="s">
        <v>204</v>
      </c>
      <c r="D1251" s="33" t="s">
        <v>174</v>
      </c>
      <c r="E1251" s="33" t="s">
        <v>166</v>
      </c>
      <c r="F1251" s="33" t="s">
        <v>163</v>
      </c>
    </row>
    <row r="1252" spans="1:6" ht="15" thickBot="1">
      <c r="A1252" s="31">
        <v>7796692</v>
      </c>
      <c r="B1252" s="32">
        <v>2120000</v>
      </c>
      <c r="C1252" s="33" t="s">
        <v>187</v>
      </c>
      <c r="D1252" s="33" t="s">
        <v>161</v>
      </c>
      <c r="E1252" s="33" t="s">
        <v>162</v>
      </c>
      <c r="F1252" s="33" t="s">
        <v>163</v>
      </c>
    </row>
    <row r="1253" spans="1:6" ht="15" thickBot="1">
      <c r="A1253" s="31">
        <v>7796880</v>
      </c>
      <c r="B1253" s="32">
        <v>20000000</v>
      </c>
      <c r="C1253" s="33" t="s">
        <v>380</v>
      </c>
      <c r="D1253" s="33" t="s">
        <v>174</v>
      </c>
      <c r="E1253" s="33" t="s">
        <v>166</v>
      </c>
      <c r="F1253" s="33" t="s">
        <v>163</v>
      </c>
    </row>
    <row r="1254" spans="1:6" ht="29" thickBot="1">
      <c r="A1254" s="31">
        <v>7797195</v>
      </c>
      <c r="B1254" s="32">
        <v>8000000</v>
      </c>
      <c r="C1254" s="33" t="s">
        <v>192</v>
      </c>
      <c r="D1254" s="33" t="s">
        <v>174</v>
      </c>
      <c r="E1254" s="33" t="s">
        <v>166</v>
      </c>
      <c r="F1254" s="33" t="s">
        <v>163</v>
      </c>
    </row>
    <row r="1255" spans="1:6" ht="15" thickBot="1">
      <c r="A1255" s="31">
        <v>7797432</v>
      </c>
      <c r="B1255" s="32">
        <v>16500000</v>
      </c>
      <c r="C1255" s="33" t="s">
        <v>383</v>
      </c>
      <c r="D1255" s="33" t="s">
        <v>174</v>
      </c>
      <c r="E1255" s="33" t="s">
        <v>166</v>
      </c>
      <c r="F1255" s="33" t="s">
        <v>163</v>
      </c>
    </row>
    <row r="1256" spans="1:6" ht="15" thickBot="1">
      <c r="A1256" s="31">
        <v>7797445</v>
      </c>
      <c r="B1256" s="32">
        <v>34800000</v>
      </c>
      <c r="C1256" s="33" t="s">
        <v>180</v>
      </c>
      <c r="D1256" s="33" t="s">
        <v>165</v>
      </c>
      <c r="E1256" s="33" t="s">
        <v>166</v>
      </c>
      <c r="F1256" s="33" t="s">
        <v>163</v>
      </c>
    </row>
    <row r="1257" spans="1:6" ht="15" thickBot="1">
      <c r="A1257" s="31">
        <v>7797470</v>
      </c>
      <c r="B1257" s="32">
        <v>7000000</v>
      </c>
      <c r="C1257" s="33" t="s">
        <v>384</v>
      </c>
      <c r="D1257" s="33" t="s">
        <v>174</v>
      </c>
      <c r="E1257" s="33" t="s">
        <v>166</v>
      </c>
      <c r="F1257" s="33" t="s">
        <v>163</v>
      </c>
    </row>
    <row r="1258" spans="1:6" ht="15" thickBot="1">
      <c r="A1258" s="31">
        <v>7797621</v>
      </c>
      <c r="B1258" s="32">
        <v>18000</v>
      </c>
      <c r="C1258" s="33" t="s">
        <v>385</v>
      </c>
      <c r="D1258" s="33" t="s">
        <v>165</v>
      </c>
      <c r="E1258" s="33" t="s">
        <v>166</v>
      </c>
      <c r="F1258" s="33" t="s">
        <v>167</v>
      </c>
    </row>
    <row r="1259" spans="1:6" ht="15" thickBot="1">
      <c r="A1259" s="31">
        <v>7799232</v>
      </c>
      <c r="B1259" s="32">
        <v>4200000</v>
      </c>
      <c r="C1259" s="33" t="s">
        <v>386</v>
      </c>
      <c r="D1259" s="33" t="s">
        <v>169</v>
      </c>
      <c r="E1259" s="34" t="s">
        <v>170</v>
      </c>
      <c r="F1259" s="33" t="s">
        <v>163</v>
      </c>
    </row>
    <row r="1260" spans="1:6" ht="15" thickBot="1">
      <c r="A1260" s="31">
        <v>7800295</v>
      </c>
      <c r="B1260" s="32">
        <v>35000000</v>
      </c>
      <c r="C1260" s="33" t="s">
        <v>264</v>
      </c>
      <c r="D1260" s="33" t="s">
        <v>169</v>
      </c>
      <c r="E1260" s="34" t="s">
        <v>170</v>
      </c>
      <c r="F1260" s="33" t="s">
        <v>163</v>
      </c>
    </row>
    <row r="1261" spans="1:6" ht="15" thickBot="1">
      <c r="A1261" s="31">
        <v>7802506</v>
      </c>
      <c r="B1261" s="32">
        <v>6642000</v>
      </c>
      <c r="C1261" s="33" t="s">
        <v>285</v>
      </c>
      <c r="D1261" s="33" t="s">
        <v>161</v>
      </c>
      <c r="E1261" s="33" t="s">
        <v>162</v>
      </c>
      <c r="F1261" s="33" t="s">
        <v>163</v>
      </c>
    </row>
    <row r="1262" spans="1:6" ht="15" thickBot="1">
      <c r="A1262" s="31">
        <v>7802991</v>
      </c>
      <c r="B1262" s="32">
        <v>14000000</v>
      </c>
      <c r="C1262" s="33" t="s">
        <v>217</v>
      </c>
      <c r="D1262" s="33" t="s">
        <v>169</v>
      </c>
      <c r="E1262" s="34" t="s">
        <v>170</v>
      </c>
      <c r="F1262" s="33" t="s">
        <v>163</v>
      </c>
    </row>
    <row r="1263" spans="1:6" ht="15" thickBot="1">
      <c r="A1263" s="31">
        <v>7803022</v>
      </c>
      <c r="B1263" s="32">
        <v>9000000</v>
      </c>
      <c r="C1263" s="33" t="s">
        <v>160</v>
      </c>
      <c r="D1263" s="33" t="s">
        <v>174</v>
      </c>
      <c r="E1263" s="33" t="s">
        <v>166</v>
      </c>
      <c r="F1263" s="33" t="s">
        <v>163</v>
      </c>
    </row>
    <row r="1264" spans="1:6" ht="15" thickBot="1">
      <c r="A1264" s="31">
        <v>7803986</v>
      </c>
      <c r="B1264" s="32">
        <v>12500000</v>
      </c>
      <c r="C1264" s="33" t="s">
        <v>298</v>
      </c>
      <c r="D1264" s="33" t="s">
        <v>174</v>
      </c>
      <c r="E1264" s="33" t="s">
        <v>166</v>
      </c>
      <c r="F1264" s="33" t="s">
        <v>163</v>
      </c>
    </row>
    <row r="1265" spans="1:6" ht="29" thickBot="1">
      <c r="A1265" s="31">
        <v>7804074</v>
      </c>
      <c r="B1265" s="32">
        <v>6900000</v>
      </c>
      <c r="C1265" s="33" t="s">
        <v>387</v>
      </c>
      <c r="D1265" s="33" t="s">
        <v>174</v>
      </c>
      <c r="E1265" s="33" t="s">
        <v>166</v>
      </c>
      <c r="F1265" s="33" t="s">
        <v>163</v>
      </c>
    </row>
    <row r="1266" spans="1:6" ht="15" thickBot="1">
      <c r="A1266" s="31">
        <v>7804294</v>
      </c>
      <c r="B1266" s="32">
        <v>20000</v>
      </c>
      <c r="C1266" s="33" t="s">
        <v>180</v>
      </c>
      <c r="D1266" s="33" t="s">
        <v>165</v>
      </c>
      <c r="E1266" s="33" t="s">
        <v>166</v>
      </c>
      <c r="F1266" s="33" t="s">
        <v>167</v>
      </c>
    </row>
    <row r="1267" spans="1:6" ht="15" thickBot="1">
      <c r="A1267" s="31">
        <v>7805574</v>
      </c>
      <c r="B1267" s="32">
        <v>150000000</v>
      </c>
      <c r="C1267" s="33" t="s">
        <v>177</v>
      </c>
      <c r="D1267" s="33" t="s">
        <v>161</v>
      </c>
      <c r="E1267" s="33" t="s">
        <v>162</v>
      </c>
      <c r="F1267" s="33" t="s">
        <v>163</v>
      </c>
    </row>
    <row r="1268" spans="1:6" ht="15" thickBot="1">
      <c r="A1268" s="31">
        <v>7806045</v>
      </c>
      <c r="B1268" s="32">
        <v>4300000</v>
      </c>
      <c r="C1268" s="33" t="s">
        <v>388</v>
      </c>
      <c r="D1268" s="33" t="s">
        <v>169</v>
      </c>
      <c r="E1268" s="34" t="s">
        <v>170</v>
      </c>
      <c r="F1268" s="33" t="s">
        <v>163</v>
      </c>
    </row>
    <row r="1269" spans="1:6" ht="15" thickBot="1">
      <c r="A1269" s="31">
        <v>7806770</v>
      </c>
      <c r="B1269" s="32">
        <v>3500000</v>
      </c>
      <c r="C1269" s="33" t="s">
        <v>389</v>
      </c>
      <c r="D1269" s="33" t="s">
        <v>174</v>
      </c>
      <c r="E1269" s="33" t="s">
        <v>166</v>
      </c>
      <c r="F1269" s="33" t="s">
        <v>163</v>
      </c>
    </row>
    <row r="1270" spans="1:6" ht="15" thickBot="1">
      <c r="A1270" s="31">
        <v>7809067</v>
      </c>
      <c r="B1270" s="32">
        <v>325000</v>
      </c>
      <c r="C1270" s="33" t="s">
        <v>177</v>
      </c>
      <c r="D1270" s="33" t="s">
        <v>161</v>
      </c>
      <c r="E1270" s="33" t="s">
        <v>162</v>
      </c>
      <c r="F1270" s="33" t="s">
        <v>167</v>
      </c>
    </row>
    <row r="1271" spans="1:6" ht="15" thickBot="1">
      <c r="A1271" s="31">
        <v>7809323</v>
      </c>
      <c r="B1271" s="32">
        <v>22000</v>
      </c>
      <c r="C1271" s="33" t="s">
        <v>309</v>
      </c>
      <c r="D1271" s="33" t="s">
        <v>165</v>
      </c>
      <c r="E1271" s="33" t="s">
        <v>166</v>
      </c>
      <c r="F1271" s="33" t="s">
        <v>167</v>
      </c>
    </row>
    <row r="1272" spans="1:6" ht="15" thickBot="1">
      <c r="A1272" s="31">
        <v>7809354</v>
      </c>
      <c r="B1272" s="32">
        <v>24000</v>
      </c>
      <c r="C1272" s="33" t="s">
        <v>309</v>
      </c>
      <c r="D1272" s="33" t="s">
        <v>165</v>
      </c>
      <c r="E1272" s="33" t="s">
        <v>166</v>
      </c>
      <c r="F1272" s="33" t="s">
        <v>167</v>
      </c>
    </row>
    <row r="1273" spans="1:6" ht="15" thickBot="1">
      <c r="A1273" s="31">
        <v>7809387</v>
      </c>
      <c r="B1273" s="32">
        <v>45000</v>
      </c>
      <c r="C1273" s="33" t="s">
        <v>309</v>
      </c>
      <c r="D1273" s="33" t="s">
        <v>165</v>
      </c>
      <c r="E1273" s="33" t="s">
        <v>166</v>
      </c>
      <c r="F1273" s="33" t="s">
        <v>167</v>
      </c>
    </row>
    <row r="1274" spans="1:6" ht="15" thickBot="1">
      <c r="A1274" s="31">
        <v>7809445</v>
      </c>
      <c r="B1274" s="32">
        <v>43000</v>
      </c>
      <c r="C1274" s="33" t="s">
        <v>309</v>
      </c>
      <c r="D1274" s="33" t="s">
        <v>165</v>
      </c>
      <c r="E1274" s="33" t="s">
        <v>166</v>
      </c>
      <c r="F1274" s="33" t="s">
        <v>167</v>
      </c>
    </row>
    <row r="1275" spans="1:6" ht="15" thickBot="1">
      <c r="A1275" s="31">
        <v>7809480</v>
      </c>
      <c r="B1275" s="32">
        <v>15000</v>
      </c>
      <c r="C1275" s="33" t="s">
        <v>309</v>
      </c>
      <c r="D1275" s="33" t="s">
        <v>165</v>
      </c>
      <c r="E1275" s="33" t="s">
        <v>166</v>
      </c>
      <c r="F1275" s="33" t="s">
        <v>167</v>
      </c>
    </row>
    <row r="1276" spans="1:6" ht="15" thickBot="1">
      <c r="A1276" s="31">
        <v>7810111</v>
      </c>
      <c r="B1276" s="32">
        <v>2600000</v>
      </c>
      <c r="C1276" s="33" t="s">
        <v>180</v>
      </c>
      <c r="D1276" s="33" t="s">
        <v>165</v>
      </c>
      <c r="E1276" s="33" t="s">
        <v>166</v>
      </c>
      <c r="F1276" s="33" t="s">
        <v>163</v>
      </c>
    </row>
    <row r="1277" spans="1:6" ht="15" thickBot="1">
      <c r="A1277" s="31">
        <v>7810903</v>
      </c>
      <c r="B1277" s="32">
        <v>2000000</v>
      </c>
      <c r="C1277" s="33" t="s">
        <v>390</v>
      </c>
      <c r="D1277" s="33" t="s">
        <v>174</v>
      </c>
      <c r="E1277" s="33" t="s">
        <v>166</v>
      </c>
      <c r="F1277" s="33" t="s">
        <v>163</v>
      </c>
    </row>
    <row r="1278" spans="1:6" ht="15" thickBot="1">
      <c r="A1278" s="31">
        <v>7811567</v>
      </c>
      <c r="B1278" s="32">
        <v>11000000</v>
      </c>
      <c r="C1278" s="33" t="s">
        <v>181</v>
      </c>
      <c r="D1278" s="33" t="s">
        <v>174</v>
      </c>
      <c r="E1278" s="33" t="s">
        <v>166</v>
      </c>
      <c r="F1278" s="33" t="s">
        <v>163</v>
      </c>
    </row>
    <row r="1279" spans="1:6" ht="15" thickBot="1">
      <c r="A1279" s="31">
        <v>7812198</v>
      </c>
      <c r="B1279" s="32">
        <v>80000</v>
      </c>
      <c r="C1279" s="33" t="s">
        <v>180</v>
      </c>
      <c r="D1279" s="33" t="s">
        <v>165</v>
      </c>
      <c r="E1279" s="33" t="s">
        <v>166</v>
      </c>
      <c r="F1279" s="33" t="s">
        <v>167</v>
      </c>
    </row>
    <row r="1280" spans="1:6" ht="15" thickBot="1">
      <c r="A1280" s="31">
        <v>7813926</v>
      </c>
      <c r="B1280" s="32">
        <v>36000000</v>
      </c>
      <c r="C1280" s="33" t="s">
        <v>177</v>
      </c>
      <c r="D1280" s="33" t="s">
        <v>169</v>
      </c>
      <c r="E1280" s="34" t="s">
        <v>170</v>
      </c>
      <c r="F1280" s="33" t="s">
        <v>163</v>
      </c>
    </row>
    <row r="1281" spans="1:6" ht="15" thickBot="1">
      <c r="A1281" s="31">
        <v>7814334</v>
      </c>
      <c r="B1281" s="32">
        <v>14800000</v>
      </c>
      <c r="C1281" s="33" t="s">
        <v>391</v>
      </c>
      <c r="D1281" s="33" t="s">
        <v>165</v>
      </c>
      <c r="E1281" s="33" t="s">
        <v>166</v>
      </c>
      <c r="F1281" s="33" t="s">
        <v>163</v>
      </c>
    </row>
    <row r="1282" spans="1:6" ht="15" thickBot="1">
      <c r="A1282" s="31">
        <v>7816510</v>
      </c>
      <c r="B1282" s="32">
        <v>350000000</v>
      </c>
      <c r="C1282" s="33" t="s">
        <v>255</v>
      </c>
      <c r="D1282" s="33" t="s">
        <v>169</v>
      </c>
      <c r="E1282" s="34" t="s">
        <v>170</v>
      </c>
      <c r="F1282" s="33" t="s">
        <v>163</v>
      </c>
    </row>
    <row r="1283" spans="1:6" ht="15" thickBot="1">
      <c r="A1283" s="31">
        <v>7817217</v>
      </c>
      <c r="B1283" s="32">
        <v>15000000</v>
      </c>
      <c r="C1283" s="33" t="s">
        <v>392</v>
      </c>
      <c r="D1283" s="33" t="s">
        <v>161</v>
      </c>
      <c r="E1283" s="33" t="s">
        <v>162</v>
      </c>
      <c r="F1283" s="33" t="s">
        <v>163</v>
      </c>
    </row>
    <row r="1284" spans="1:6" ht="15" thickBot="1">
      <c r="A1284" s="31">
        <v>7817242</v>
      </c>
      <c r="B1284" s="32">
        <v>150000000</v>
      </c>
      <c r="C1284" s="33" t="s">
        <v>191</v>
      </c>
      <c r="D1284" s="33" t="s">
        <v>169</v>
      </c>
      <c r="E1284" s="34" t="s">
        <v>170</v>
      </c>
      <c r="F1284" s="33" t="s">
        <v>163</v>
      </c>
    </row>
    <row r="1285" spans="1:6" ht="15" thickBot="1">
      <c r="A1285" s="31">
        <v>7818859</v>
      </c>
      <c r="B1285" s="32">
        <v>4700000</v>
      </c>
      <c r="C1285" s="33" t="s">
        <v>190</v>
      </c>
      <c r="D1285" s="33" t="s">
        <v>169</v>
      </c>
      <c r="E1285" s="34" t="s">
        <v>170</v>
      </c>
      <c r="F1285" s="33" t="s">
        <v>163</v>
      </c>
    </row>
    <row r="1286" spans="1:6" ht="15" thickBot="1">
      <c r="A1286" s="31">
        <v>7821802</v>
      </c>
      <c r="B1286" s="32">
        <v>4700000</v>
      </c>
      <c r="C1286" s="33" t="s">
        <v>393</v>
      </c>
      <c r="D1286" s="33" t="s">
        <v>174</v>
      </c>
      <c r="E1286" s="33" t="s">
        <v>166</v>
      </c>
      <c r="F1286" s="33" t="s">
        <v>163</v>
      </c>
    </row>
    <row r="1287" spans="1:6" ht="15" thickBot="1">
      <c r="A1287" s="31">
        <v>7823060</v>
      </c>
      <c r="B1287" s="32">
        <v>22500000</v>
      </c>
      <c r="C1287" s="33" t="s">
        <v>180</v>
      </c>
      <c r="D1287" s="33" t="s">
        <v>165</v>
      </c>
      <c r="E1287" s="33" t="s">
        <v>166</v>
      </c>
      <c r="F1287" s="33" t="s">
        <v>163</v>
      </c>
    </row>
    <row r="1288" spans="1:6" ht="15" thickBot="1">
      <c r="A1288" s="31">
        <v>7823374</v>
      </c>
      <c r="B1288" s="32">
        <v>16500000</v>
      </c>
      <c r="C1288" s="33" t="s">
        <v>394</v>
      </c>
      <c r="D1288" s="33" t="s">
        <v>169</v>
      </c>
      <c r="E1288" s="34" t="s">
        <v>170</v>
      </c>
      <c r="F1288" s="33" t="s">
        <v>163</v>
      </c>
    </row>
    <row r="1289" spans="1:6" ht="15" thickBot="1">
      <c r="A1289" s="31">
        <v>7825444</v>
      </c>
      <c r="B1289" s="32">
        <v>170000000</v>
      </c>
      <c r="C1289" s="33" t="s">
        <v>172</v>
      </c>
      <c r="D1289" s="33" t="s">
        <v>169</v>
      </c>
      <c r="E1289" s="34" t="s">
        <v>170</v>
      </c>
      <c r="F1289" s="33" t="s">
        <v>163</v>
      </c>
    </row>
    <row r="1290" spans="1:6" ht="15" thickBot="1">
      <c r="A1290" s="31">
        <v>7826175</v>
      </c>
      <c r="B1290" s="32">
        <v>21000000</v>
      </c>
      <c r="C1290" s="33" t="s">
        <v>204</v>
      </c>
      <c r="D1290" s="33" t="s">
        <v>174</v>
      </c>
      <c r="E1290" s="33" t="s">
        <v>166</v>
      </c>
      <c r="F1290" s="33" t="s">
        <v>163</v>
      </c>
    </row>
    <row r="1291" spans="1:6" ht="15" thickBot="1">
      <c r="A1291" s="31">
        <v>7828474</v>
      </c>
      <c r="B1291" s="32">
        <v>12000000</v>
      </c>
      <c r="C1291" s="33" t="s">
        <v>395</v>
      </c>
      <c r="D1291" s="33" t="s">
        <v>174</v>
      </c>
      <c r="E1291" s="33" t="s">
        <v>166</v>
      </c>
      <c r="F1291" s="33" t="s">
        <v>163</v>
      </c>
    </row>
    <row r="1292" spans="1:6" ht="15" thickBot="1">
      <c r="A1292" s="31">
        <v>7828635</v>
      </c>
      <c r="B1292" s="32">
        <v>11700000</v>
      </c>
      <c r="C1292" s="33" t="s">
        <v>206</v>
      </c>
      <c r="D1292" s="33" t="s">
        <v>174</v>
      </c>
      <c r="E1292" s="33" t="s">
        <v>166</v>
      </c>
      <c r="F1292" s="33" t="s">
        <v>163</v>
      </c>
    </row>
    <row r="1293" spans="1:6" ht="15" thickBot="1">
      <c r="A1293" s="31">
        <v>7828890</v>
      </c>
      <c r="B1293" s="32">
        <v>45000</v>
      </c>
      <c r="C1293" s="33" t="s">
        <v>198</v>
      </c>
      <c r="D1293" s="33" t="s">
        <v>169</v>
      </c>
      <c r="E1293" s="34" t="s">
        <v>170</v>
      </c>
      <c r="F1293" s="33" t="s">
        <v>167</v>
      </c>
    </row>
    <row r="1294" spans="1:6" ht="15" thickBot="1">
      <c r="A1294" s="31">
        <v>7829095</v>
      </c>
      <c r="B1294" s="32">
        <v>40000</v>
      </c>
      <c r="C1294" s="33" t="s">
        <v>180</v>
      </c>
      <c r="D1294" s="33" t="s">
        <v>165</v>
      </c>
      <c r="E1294" s="33" t="s">
        <v>166</v>
      </c>
      <c r="F1294" s="33" t="s">
        <v>167</v>
      </c>
    </row>
    <row r="1295" spans="1:6" ht="15" thickBot="1">
      <c r="A1295" s="31">
        <v>7829217</v>
      </c>
      <c r="B1295" s="32">
        <v>70000</v>
      </c>
      <c r="C1295" s="33" t="s">
        <v>180</v>
      </c>
      <c r="D1295" s="33" t="s">
        <v>165</v>
      </c>
      <c r="E1295" s="33" t="s">
        <v>166</v>
      </c>
      <c r="F1295" s="33" t="s">
        <v>167</v>
      </c>
    </row>
    <row r="1296" spans="1:6" ht="15" thickBot="1">
      <c r="A1296" s="31">
        <v>7829547</v>
      </c>
      <c r="B1296" s="32">
        <v>7500000</v>
      </c>
      <c r="C1296" s="33" t="s">
        <v>396</v>
      </c>
      <c r="D1296" s="33" t="s">
        <v>165</v>
      </c>
      <c r="E1296" s="33" t="s">
        <v>166</v>
      </c>
      <c r="F1296" s="33" t="s">
        <v>163</v>
      </c>
    </row>
    <row r="1297" spans="1:6" ht="15" thickBot="1">
      <c r="A1297" s="31">
        <v>7829792</v>
      </c>
      <c r="B1297" s="32">
        <v>6000000</v>
      </c>
      <c r="C1297" s="33" t="s">
        <v>397</v>
      </c>
      <c r="D1297" s="33" t="s">
        <v>174</v>
      </c>
      <c r="E1297" s="33" t="s">
        <v>166</v>
      </c>
      <c r="F1297" s="33" t="s">
        <v>163</v>
      </c>
    </row>
    <row r="1298" spans="1:6" ht="15" thickBot="1">
      <c r="A1298" s="31">
        <v>7835528</v>
      </c>
      <c r="B1298" s="32">
        <v>8500000</v>
      </c>
      <c r="C1298" s="33" t="s">
        <v>205</v>
      </c>
      <c r="D1298" s="33" t="s">
        <v>161</v>
      </c>
      <c r="E1298" s="33" t="s">
        <v>162</v>
      </c>
      <c r="F1298" s="33" t="s">
        <v>163</v>
      </c>
    </row>
    <row r="1299" spans="1:6" ht="15" thickBot="1">
      <c r="A1299" s="31">
        <v>7839841</v>
      </c>
      <c r="B1299" s="32">
        <v>20500000</v>
      </c>
      <c r="C1299" s="33" t="s">
        <v>177</v>
      </c>
      <c r="D1299" s="33" t="s">
        <v>174</v>
      </c>
      <c r="E1299" s="33" t="s">
        <v>166</v>
      </c>
      <c r="F1299" s="33" t="s">
        <v>163</v>
      </c>
    </row>
    <row r="1300" spans="1:6" ht="15" thickBot="1">
      <c r="A1300" s="31">
        <v>7839934</v>
      </c>
      <c r="B1300" s="32">
        <v>180000</v>
      </c>
      <c r="C1300" s="33" t="s">
        <v>172</v>
      </c>
      <c r="D1300" s="33" t="s">
        <v>169</v>
      </c>
      <c r="E1300" s="34" t="s">
        <v>170</v>
      </c>
      <c r="F1300" s="33" t="s">
        <v>167</v>
      </c>
    </row>
    <row r="1301" spans="1:6" ht="15" thickBot="1">
      <c r="A1301" s="31">
        <v>7844039</v>
      </c>
      <c r="B1301" s="32">
        <v>12000000</v>
      </c>
      <c r="C1301" s="33" t="s">
        <v>251</v>
      </c>
      <c r="D1301" s="33" t="s">
        <v>174</v>
      </c>
      <c r="E1301" s="33" t="s">
        <v>166</v>
      </c>
      <c r="F1301" s="33" t="s">
        <v>163</v>
      </c>
    </row>
    <row r="1302" spans="1:6" ht="15" thickBot="1">
      <c r="A1302" s="31">
        <v>7846899</v>
      </c>
      <c r="B1302" s="32">
        <v>37000000</v>
      </c>
      <c r="C1302" s="33" t="s">
        <v>204</v>
      </c>
      <c r="D1302" s="33" t="s">
        <v>174</v>
      </c>
      <c r="E1302" s="33" t="s">
        <v>166</v>
      </c>
      <c r="F1302" s="33" t="s">
        <v>163</v>
      </c>
    </row>
    <row r="1303" spans="1:6" ht="15" thickBot="1">
      <c r="A1303" s="31">
        <v>7847470</v>
      </c>
      <c r="B1303" s="32">
        <v>4600000</v>
      </c>
      <c r="C1303" s="33" t="s">
        <v>398</v>
      </c>
      <c r="D1303" s="33" t="s">
        <v>174</v>
      </c>
      <c r="E1303" s="33" t="s">
        <v>166</v>
      </c>
      <c r="F1303" s="33" t="s">
        <v>163</v>
      </c>
    </row>
    <row r="1304" spans="1:6" ht="15" thickBot="1">
      <c r="A1304" s="31">
        <v>7847975</v>
      </c>
      <c r="B1304" s="32">
        <v>120000000</v>
      </c>
      <c r="C1304" s="33" t="s">
        <v>182</v>
      </c>
      <c r="D1304" s="33" t="s">
        <v>174</v>
      </c>
      <c r="E1304" s="33" t="s">
        <v>166</v>
      </c>
      <c r="F1304" s="33" t="s">
        <v>163</v>
      </c>
    </row>
    <row r="1305" spans="1:6" ht="15" thickBot="1">
      <c r="A1305" s="31">
        <v>7848012</v>
      </c>
      <c r="B1305" s="32">
        <v>350000000</v>
      </c>
      <c r="C1305" s="33" t="s">
        <v>182</v>
      </c>
      <c r="D1305" s="33" t="s">
        <v>174</v>
      </c>
      <c r="E1305" s="33" t="s">
        <v>166</v>
      </c>
      <c r="F1305" s="33" t="s">
        <v>163</v>
      </c>
    </row>
    <row r="1306" spans="1:6" ht="15" thickBot="1">
      <c r="A1306" s="31">
        <v>7848148</v>
      </c>
      <c r="B1306" s="32">
        <v>32500000</v>
      </c>
      <c r="C1306" s="33" t="s">
        <v>182</v>
      </c>
      <c r="D1306" s="33" t="s">
        <v>174</v>
      </c>
      <c r="E1306" s="33" t="s">
        <v>166</v>
      </c>
      <c r="F1306" s="33" t="s">
        <v>163</v>
      </c>
    </row>
    <row r="1307" spans="1:6" ht="15" thickBot="1">
      <c r="A1307" s="31">
        <v>7848237</v>
      </c>
      <c r="B1307" s="32">
        <v>330000000</v>
      </c>
      <c r="C1307" s="33" t="s">
        <v>182</v>
      </c>
      <c r="D1307" s="33" t="s">
        <v>174</v>
      </c>
      <c r="E1307" s="33" t="s">
        <v>166</v>
      </c>
      <c r="F1307" s="33" t="s">
        <v>163</v>
      </c>
    </row>
    <row r="1308" spans="1:6" ht="15" thickBot="1">
      <c r="A1308" s="31">
        <v>7848310</v>
      </c>
      <c r="B1308" s="32">
        <v>50000000</v>
      </c>
      <c r="C1308" s="33" t="s">
        <v>182</v>
      </c>
      <c r="D1308" s="33" t="s">
        <v>174</v>
      </c>
      <c r="E1308" s="33" t="s">
        <v>166</v>
      </c>
      <c r="F1308" s="33" t="s">
        <v>163</v>
      </c>
    </row>
    <row r="1309" spans="1:6" ht="15" thickBot="1">
      <c r="A1309" s="31">
        <v>7848350</v>
      </c>
      <c r="B1309" s="32">
        <v>90000000</v>
      </c>
      <c r="C1309" s="33" t="s">
        <v>182</v>
      </c>
      <c r="D1309" s="33" t="s">
        <v>174</v>
      </c>
      <c r="E1309" s="33" t="s">
        <v>166</v>
      </c>
      <c r="F1309" s="33" t="s">
        <v>163</v>
      </c>
    </row>
    <row r="1310" spans="1:6" ht="15" thickBot="1">
      <c r="A1310" s="31">
        <v>7848859</v>
      </c>
      <c r="B1310" s="32">
        <v>4500000</v>
      </c>
      <c r="C1310" s="33" t="s">
        <v>399</v>
      </c>
      <c r="D1310" s="33" t="s">
        <v>169</v>
      </c>
      <c r="E1310" s="34" t="s">
        <v>170</v>
      </c>
      <c r="F1310" s="33" t="s">
        <v>163</v>
      </c>
    </row>
    <row r="1311" spans="1:6" ht="15" thickBot="1">
      <c r="A1311" s="31">
        <v>7848922</v>
      </c>
      <c r="B1311" s="32">
        <v>52000</v>
      </c>
      <c r="C1311" s="33" t="s">
        <v>309</v>
      </c>
      <c r="D1311" s="33" t="s">
        <v>165</v>
      </c>
      <c r="E1311" s="33" t="s">
        <v>166</v>
      </c>
      <c r="F1311" s="33" t="s">
        <v>167</v>
      </c>
    </row>
    <row r="1312" spans="1:6" ht="15" thickBot="1">
      <c r="A1312" s="31">
        <v>7849021</v>
      </c>
      <c r="B1312" s="32">
        <v>6500000</v>
      </c>
      <c r="C1312" s="33" t="s">
        <v>177</v>
      </c>
      <c r="D1312" s="33" t="s">
        <v>169</v>
      </c>
      <c r="E1312" s="34" t="s">
        <v>170</v>
      </c>
      <c r="F1312" s="33" t="s">
        <v>163</v>
      </c>
    </row>
    <row r="1313" spans="1:6" ht="15" thickBot="1">
      <c r="A1313" s="31">
        <v>7849225</v>
      </c>
      <c r="B1313" s="32">
        <v>16000</v>
      </c>
      <c r="C1313" s="33" t="s">
        <v>188</v>
      </c>
      <c r="D1313" s="33" t="s">
        <v>165</v>
      </c>
      <c r="E1313" s="33" t="s">
        <v>166</v>
      </c>
      <c r="F1313" s="33" t="s">
        <v>167</v>
      </c>
    </row>
    <row r="1314" spans="1:6" ht="15" thickBot="1">
      <c r="A1314" s="31">
        <v>7850642</v>
      </c>
      <c r="B1314" s="32">
        <v>40000000</v>
      </c>
      <c r="C1314" s="33" t="s">
        <v>256</v>
      </c>
      <c r="D1314" s="33" t="s">
        <v>169</v>
      </c>
      <c r="E1314" s="34" t="s">
        <v>170</v>
      </c>
      <c r="F1314" s="33" t="s">
        <v>163</v>
      </c>
    </row>
    <row r="1315" spans="1:6" ht="15" thickBot="1">
      <c r="A1315" s="31">
        <v>7854154</v>
      </c>
      <c r="B1315" s="32">
        <v>8500000</v>
      </c>
      <c r="C1315" s="33" t="s">
        <v>400</v>
      </c>
      <c r="D1315" s="33" t="s">
        <v>165</v>
      </c>
      <c r="E1315" s="33" t="s">
        <v>166</v>
      </c>
      <c r="F1315" s="33" t="s">
        <v>163</v>
      </c>
    </row>
    <row r="1316" spans="1:6" ht="15" thickBot="1">
      <c r="A1316" s="31">
        <v>7854616</v>
      </c>
      <c r="B1316" s="32">
        <v>60000</v>
      </c>
      <c r="C1316" s="33" t="s">
        <v>198</v>
      </c>
      <c r="D1316" s="33" t="s">
        <v>169</v>
      </c>
      <c r="E1316" s="34" t="s">
        <v>170</v>
      </c>
      <c r="F1316" s="33" t="s">
        <v>167</v>
      </c>
    </row>
    <row r="1317" spans="1:6" ht="15" thickBot="1">
      <c r="A1317" s="31">
        <v>7854619</v>
      </c>
      <c r="B1317" s="32">
        <v>130000</v>
      </c>
      <c r="C1317" s="33" t="s">
        <v>262</v>
      </c>
      <c r="D1317" s="33" t="s">
        <v>169</v>
      </c>
      <c r="E1317" s="34" t="s">
        <v>170</v>
      </c>
      <c r="F1317" s="33" t="s">
        <v>167</v>
      </c>
    </row>
    <row r="1318" spans="1:6" ht="15" thickBot="1">
      <c r="A1318" s="31">
        <v>7854779</v>
      </c>
      <c r="B1318" s="32">
        <v>22500000</v>
      </c>
      <c r="C1318" s="33" t="s">
        <v>257</v>
      </c>
      <c r="D1318" s="33" t="s">
        <v>169</v>
      </c>
      <c r="E1318" s="34" t="s">
        <v>170</v>
      </c>
      <c r="F1318" s="33" t="s">
        <v>163</v>
      </c>
    </row>
    <row r="1319" spans="1:6" ht="15" thickBot="1">
      <c r="A1319" s="31">
        <v>7855062</v>
      </c>
      <c r="B1319" s="32">
        <v>8500000</v>
      </c>
      <c r="C1319" s="33" t="s">
        <v>220</v>
      </c>
      <c r="D1319" s="33" t="s">
        <v>165</v>
      </c>
      <c r="E1319" s="33" t="s">
        <v>166</v>
      </c>
      <c r="F1319" s="33" t="s">
        <v>163</v>
      </c>
    </row>
    <row r="1320" spans="1:6" ht="15" thickBot="1">
      <c r="A1320" s="31">
        <v>7856146</v>
      </c>
      <c r="B1320" s="32">
        <v>30000000</v>
      </c>
      <c r="C1320" s="33" t="s">
        <v>380</v>
      </c>
      <c r="D1320" s="33" t="s">
        <v>174</v>
      </c>
      <c r="E1320" s="33" t="s">
        <v>166</v>
      </c>
      <c r="F1320" s="33" t="s">
        <v>163</v>
      </c>
    </row>
    <row r="1321" spans="1:6" ht="15" thickBot="1">
      <c r="A1321" s="31">
        <v>7862626</v>
      </c>
      <c r="B1321" s="32">
        <v>9000000</v>
      </c>
      <c r="C1321" s="33" t="s">
        <v>401</v>
      </c>
      <c r="D1321" s="33" t="s">
        <v>174</v>
      </c>
      <c r="E1321" s="33" t="s">
        <v>166</v>
      </c>
      <c r="F1321" s="33" t="s">
        <v>163</v>
      </c>
    </row>
    <row r="1322" spans="1:6" ht="15" thickBot="1">
      <c r="A1322" s="31">
        <v>7865695</v>
      </c>
      <c r="B1322" s="32">
        <v>13500000</v>
      </c>
      <c r="C1322" s="33" t="s">
        <v>402</v>
      </c>
      <c r="D1322" s="33" t="s">
        <v>174</v>
      </c>
      <c r="E1322" s="33" t="s">
        <v>166</v>
      </c>
      <c r="F1322" s="33" t="s">
        <v>163</v>
      </c>
    </row>
    <row r="1323" spans="1:6" ht="15" thickBot="1">
      <c r="A1323" s="31">
        <v>7866230</v>
      </c>
      <c r="B1323" s="32">
        <v>5500000</v>
      </c>
      <c r="C1323" s="33" t="s">
        <v>164</v>
      </c>
      <c r="D1323" s="33" t="s">
        <v>165</v>
      </c>
      <c r="E1323" s="33" t="s">
        <v>166</v>
      </c>
      <c r="F1323" s="33" t="s">
        <v>163</v>
      </c>
    </row>
    <row r="1324" spans="1:6" ht="15" thickBot="1">
      <c r="A1324" s="31">
        <v>7866293</v>
      </c>
      <c r="B1324" s="32">
        <v>32500000</v>
      </c>
      <c r="C1324" s="33" t="s">
        <v>366</v>
      </c>
      <c r="D1324" s="33" t="s">
        <v>174</v>
      </c>
      <c r="E1324" s="33" t="s">
        <v>166</v>
      </c>
      <c r="F1324" s="33" t="s">
        <v>163</v>
      </c>
    </row>
    <row r="1325" spans="1:6" ht="15" thickBot="1">
      <c r="A1325" s="31">
        <v>7866499</v>
      </c>
      <c r="B1325" s="32">
        <v>40000000</v>
      </c>
      <c r="C1325" s="33" t="s">
        <v>217</v>
      </c>
      <c r="D1325" s="33" t="s">
        <v>169</v>
      </c>
      <c r="E1325" s="34" t="s">
        <v>170</v>
      </c>
      <c r="F1325" s="33" t="s">
        <v>163</v>
      </c>
    </row>
    <row r="1326" spans="1:6" ht="15" thickBot="1">
      <c r="A1326" s="31">
        <v>7866614</v>
      </c>
      <c r="B1326" s="32">
        <v>15000</v>
      </c>
      <c r="C1326" s="33" t="s">
        <v>403</v>
      </c>
      <c r="D1326" s="33" t="s">
        <v>165</v>
      </c>
      <c r="E1326" s="33" t="s">
        <v>166</v>
      </c>
      <c r="F1326" s="33" t="s">
        <v>167</v>
      </c>
    </row>
    <row r="1327" spans="1:6" ht="15" thickBot="1">
      <c r="A1327" s="31">
        <v>7866860</v>
      </c>
      <c r="B1327" s="32">
        <v>70000000</v>
      </c>
      <c r="C1327" s="33" t="s">
        <v>380</v>
      </c>
      <c r="D1327" s="33" t="s">
        <v>174</v>
      </c>
      <c r="E1327" s="33" t="s">
        <v>166</v>
      </c>
      <c r="F1327" s="33" t="s">
        <v>163</v>
      </c>
    </row>
    <row r="1328" spans="1:6" ht="15" thickBot="1">
      <c r="A1328" s="31">
        <v>7867180</v>
      </c>
      <c r="B1328" s="32">
        <v>8500000</v>
      </c>
      <c r="C1328" s="33" t="s">
        <v>391</v>
      </c>
      <c r="D1328" s="33" t="s">
        <v>165</v>
      </c>
      <c r="E1328" s="33" t="s">
        <v>166</v>
      </c>
      <c r="F1328" s="33" t="s">
        <v>163</v>
      </c>
    </row>
    <row r="1329" spans="1:6" ht="15" thickBot="1">
      <c r="A1329" s="31">
        <v>7867822</v>
      </c>
      <c r="B1329" s="32">
        <v>4700000</v>
      </c>
      <c r="C1329" s="33" t="s">
        <v>343</v>
      </c>
      <c r="D1329" s="33" t="s">
        <v>169</v>
      </c>
      <c r="E1329" s="34" t="s">
        <v>170</v>
      </c>
      <c r="F1329" s="33" t="s">
        <v>163</v>
      </c>
    </row>
    <row r="1330" spans="1:6" ht="15" thickBot="1">
      <c r="A1330" s="31">
        <v>7868183</v>
      </c>
      <c r="B1330" s="32">
        <v>12000000</v>
      </c>
      <c r="C1330" s="33" t="s">
        <v>177</v>
      </c>
      <c r="D1330" s="33" t="s">
        <v>161</v>
      </c>
      <c r="E1330" s="33" t="s">
        <v>162</v>
      </c>
      <c r="F1330" s="33" t="s">
        <v>163</v>
      </c>
    </row>
    <row r="1331" spans="1:6" ht="15" thickBot="1">
      <c r="A1331" s="31">
        <v>7868704</v>
      </c>
      <c r="B1331" s="32">
        <v>180000000</v>
      </c>
      <c r="C1331" s="33" t="s">
        <v>191</v>
      </c>
      <c r="D1331" s="33" t="s">
        <v>169</v>
      </c>
      <c r="E1331" s="34" t="s">
        <v>170</v>
      </c>
      <c r="F1331" s="33" t="s">
        <v>163</v>
      </c>
    </row>
    <row r="1332" spans="1:6" ht="15" thickBot="1">
      <c r="A1332" s="31">
        <v>7869379</v>
      </c>
      <c r="B1332" s="32">
        <v>2300000</v>
      </c>
      <c r="C1332" s="33" t="s">
        <v>216</v>
      </c>
      <c r="D1332" s="33" t="s">
        <v>174</v>
      </c>
      <c r="E1332" s="33" t="s">
        <v>166</v>
      </c>
      <c r="F1332" s="33" t="s">
        <v>163</v>
      </c>
    </row>
    <row r="1333" spans="1:6" ht="15" thickBot="1">
      <c r="A1333" s="31">
        <v>7869725</v>
      </c>
      <c r="B1333" s="32">
        <v>8000000</v>
      </c>
      <c r="C1333" s="33" t="s">
        <v>404</v>
      </c>
      <c r="D1333" s="33" t="s">
        <v>174</v>
      </c>
      <c r="E1333" s="33" t="s">
        <v>166</v>
      </c>
      <c r="F1333" s="33" t="s">
        <v>163</v>
      </c>
    </row>
    <row r="1334" spans="1:6" ht="15" thickBot="1">
      <c r="A1334" s="31">
        <v>7873306</v>
      </c>
      <c r="B1334" s="32">
        <v>7300000</v>
      </c>
      <c r="C1334" s="33" t="s">
        <v>284</v>
      </c>
      <c r="D1334" s="33" t="s">
        <v>174</v>
      </c>
      <c r="E1334" s="33" t="s">
        <v>166</v>
      </c>
      <c r="F1334" s="33" t="s">
        <v>163</v>
      </c>
    </row>
    <row r="1335" spans="1:6" ht="15" thickBot="1">
      <c r="A1335" s="31">
        <v>7873623</v>
      </c>
      <c r="B1335" s="32">
        <v>1700000</v>
      </c>
      <c r="C1335" s="33" t="s">
        <v>405</v>
      </c>
      <c r="D1335" s="33" t="s">
        <v>165</v>
      </c>
      <c r="E1335" s="33" t="s">
        <v>166</v>
      </c>
      <c r="F1335" s="33" t="s">
        <v>163</v>
      </c>
    </row>
    <row r="1336" spans="1:6" ht="15" thickBot="1">
      <c r="A1336" s="31">
        <v>7875765</v>
      </c>
      <c r="B1336" s="32">
        <v>14000000</v>
      </c>
      <c r="C1336" s="33" t="s">
        <v>271</v>
      </c>
      <c r="D1336" s="33" t="s">
        <v>169</v>
      </c>
      <c r="E1336" s="34" t="s">
        <v>170</v>
      </c>
      <c r="F1336" s="33" t="s">
        <v>163</v>
      </c>
    </row>
    <row r="1337" spans="1:6" ht="15" thickBot="1">
      <c r="A1337" s="31">
        <v>7875819</v>
      </c>
      <c r="B1337" s="32">
        <v>5500000</v>
      </c>
      <c r="C1337" s="33" t="s">
        <v>276</v>
      </c>
      <c r="D1337" s="33" t="s">
        <v>165</v>
      </c>
      <c r="E1337" s="33" t="s">
        <v>166</v>
      </c>
      <c r="F1337" s="33" t="s">
        <v>163</v>
      </c>
    </row>
    <row r="1338" spans="1:6" ht="15" thickBot="1">
      <c r="A1338" s="31">
        <v>7875871</v>
      </c>
      <c r="B1338" s="32">
        <v>19800000</v>
      </c>
      <c r="C1338" s="33" t="s">
        <v>204</v>
      </c>
      <c r="D1338" s="33" t="s">
        <v>174</v>
      </c>
      <c r="E1338" s="33" t="s">
        <v>166</v>
      </c>
      <c r="F1338" s="33" t="s">
        <v>163</v>
      </c>
    </row>
    <row r="1339" spans="1:6" ht="15" thickBot="1">
      <c r="A1339" s="31">
        <v>7875902</v>
      </c>
      <c r="B1339" s="32">
        <v>42000000</v>
      </c>
      <c r="C1339" s="33" t="s">
        <v>264</v>
      </c>
      <c r="D1339" s="33" t="s">
        <v>169</v>
      </c>
      <c r="E1339" s="34" t="s">
        <v>170</v>
      </c>
      <c r="F1339" s="33" t="s">
        <v>163</v>
      </c>
    </row>
    <row r="1340" spans="1:6" ht="15" thickBot="1">
      <c r="A1340" s="31">
        <v>7880375</v>
      </c>
      <c r="B1340" s="32">
        <v>70000000</v>
      </c>
      <c r="C1340" s="33" t="s">
        <v>218</v>
      </c>
      <c r="D1340" s="33" t="s">
        <v>161</v>
      </c>
      <c r="E1340" s="33" t="s">
        <v>162</v>
      </c>
      <c r="F1340" s="33" t="s">
        <v>163</v>
      </c>
    </row>
    <row r="1341" spans="1:6" ht="15" thickBot="1">
      <c r="A1341" s="31">
        <v>7880800</v>
      </c>
      <c r="B1341" s="32">
        <v>22500000</v>
      </c>
      <c r="C1341" s="33" t="s">
        <v>183</v>
      </c>
      <c r="D1341" s="33" t="s">
        <v>169</v>
      </c>
      <c r="E1341" s="34" t="s">
        <v>170</v>
      </c>
      <c r="F1341" s="33" t="s">
        <v>163</v>
      </c>
    </row>
    <row r="1342" spans="1:6" ht="15" thickBot="1">
      <c r="A1342" s="31">
        <v>7880890</v>
      </c>
      <c r="B1342" s="32">
        <v>3000000</v>
      </c>
      <c r="C1342" s="33" t="s">
        <v>405</v>
      </c>
      <c r="D1342" s="33" t="s">
        <v>165</v>
      </c>
      <c r="E1342" s="33" t="s">
        <v>166</v>
      </c>
      <c r="F1342" s="33" t="s">
        <v>163</v>
      </c>
    </row>
    <row r="1343" spans="1:6" ht="15" thickBot="1">
      <c r="A1343" s="31">
        <v>7881221</v>
      </c>
      <c r="B1343" s="32">
        <v>12500000</v>
      </c>
      <c r="C1343" s="33" t="s">
        <v>406</v>
      </c>
      <c r="D1343" s="33" t="s">
        <v>174</v>
      </c>
      <c r="E1343" s="33" t="s">
        <v>166</v>
      </c>
      <c r="F1343" s="33" t="s">
        <v>163</v>
      </c>
    </row>
    <row r="1344" spans="1:6" ht="15" thickBot="1">
      <c r="A1344" s="31">
        <v>7881677</v>
      </c>
      <c r="B1344" s="32">
        <v>37000000</v>
      </c>
      <c r="C1344" s="33" t="s">
        <v>160</v>
      </c>
      <c r="D1344" s="33" t="s">
        <v>174</v>
      </c>
      <c r="E1344" s="33" t="s">
        <v>166</v>
      </c>
      <c r="F1344" s="33" t="s">
        <v>163</v>
      </c>
    </row>
    <row r="1345" spans="1:6" ht="15" thickBot="1">
      <c r="A1345" s="31">
        <v>7881816</v>
      </c>
      <c r="B1345" s="32">
        <v>10500000</v>
      </c>
      <c r="C1345" s="33" t="s">
        <v>180</v>
      </c>
      <c r="D1345" s="33" t="s">
        <v>165</v>
      </c>
      <c r="E1345" s="33" t="s">
        <v>166</v>
      </c>
      <c r="F1345" s="33" t="s">
        <v>163</v>
      </c>
    </row>
    <row r="1346" spans="1:6" ht="15" thickBot="1">
      <c r="A1346" s="31">
        <v>7883280</v>
      </c>
      <c r="B1346" s="32">
        <v>66000</v>
      </c>
      <c r="C1346" s="33" t="s">
        <v>172</v>
      </c>
      <c r="D1346" s="33" t="s">
        <v>169</v>
      </c>
      <c r="E1346" s="34" t="s">
        <v>170</v>
      </c>
      <c r="F1346" s="33" t="s">
        <v>167</v>
      </c>
    </row>
    <row r="1347" spans="1:6" ht="15" thickBot="1">
      <c r="A1347" s="31">
        <v>7883463</v>
      </c>
      <c r="B1347" s="32">
        <v>8600000</v>
      </c>
      <c r="C1347" s="33" t="s">
        <v>276</v>
      </c>
      <c r="D1347" s="33" t="s">
        <v>165</v>
      </c>
      <c r="E1347" s="33" t="s">
        <v>166</v>
      </c>
      <c r="F1347" s="33" t="s">
        <v>163</v>
      </c>
    </row>
    <row r="1348" spans="1:6" ht="15" thickBot="1">
      <c r="A1348" s="31">
        <v>7884146</v>
      </c>
      <c r="B1348" s="32">
        <v>2300000</v>
      </c>
      <c r="C1348" s="33" t="s">
        <v>399</v>
      </c>
      <c r="D1348" s="33" t="s">
        <v>169</v>
      </c>
      <c r="E1348" s="34" t="s">
        <v>170</v>
      </c>
      <c r="F1348" s="33" t="s">
        <v>163</v>
      </c>
    </row>
    <row r="1349" spans="1:6" ht="15" thickBot="1">
      <c r="A1349" s="31">
        <v>7885716</v>
      </c>
      <c r="B1349" s="32">
        <v>78000000</v>
      </c>
      <c r="C1349" s="33" t="s">
        <v>282</v>
      </c>
      <c r="D1349" s="33" t="s">
        <v>161</v>
      </c>
      <c r="E1349" s="33" t="s">
        <v>162</v>
      </c>
      <c r="F1349" s="33" t="s">
        <v>163</v>
      </c>
    </row>
    <row r="1350" spans="1:6" ht="15" thickBot="1">
      <c r="A1350" s="31">
        <v>7887042</v>
      </c>
      <c r="B1350" s="32">
        <v>6000000</v>
      </c>
      <c r="C1350" s="33" t="s">
        <v>407</v>
      </c>
      <c r="D1350" s="33" t="s">
        <v>174</v>
      </c>
      <c r="E1350" s="33" t="s">
        <v>166</v>
      </c>
      <c r="F1350" s="33" t="s">
        <v>163</v>
      </c>
    </row>
    <row r="1351" spans="1:6" ht="29" thickBot="1">
      <c r="A1351" s="31">
        <v>7889464</v>
      </c>
      <c r="B1351" s="32">
        <v>13500000</v>
      </c>
      <c r="C1351" s="33" t="s">
        <v>270</v>
      </c>
      <c r="D1351" s="33" t="s">
        <v>165</v>
      </c>
      <c r="E1351" s="33" t="s">
        <v>166</v>
      </c>
      <c r="F1351" s="33" t="s">
        <v>163</v>
      </c>
    </row>
    <row r="1352" spans="1:6" ht="29" thickBot="1">
      <c r="A1352" s="31">
        <v>7889899</v>
      </c>
      <c r="B1352" s="32">
        <v>14000000</v>
      </c>
      <c r="C1352" s="33" t="s">
        <v>270</v>
      </c>
      <c r="D1352" s="33" t="s">
        <v>165</v>
      </c>
      <c r="E1352" s="33" t="s">
        <v>166</v>
      </c>
      <c r="F1352" s="33" t="s">
        <v>163</v>
      </c>
    </row>
    <row r="1353" spans="1:6" ht="15" thickBot="1">
      <c r="A1353" s="31">
        <v>7890032</v>
      </c>
      <c r="B1353" s="32">
        <v>10000000</v>
      </c>
      <c r="C1353" s="33" t="s">
        <v>272</v>
      </c>
      <c r="D1353" s="33" t="s">
        <v>161</v>
      </c>
      <c r="E1353" s="33" t="s">
        <v>162</v>
      </c>
      <c r="F1353" s="33" t="s">
        <v>163</v>
      </c>
    </row>
    <row r="1354" spans="1:6" ht="15" thickBot="1">
      <c r="A1354" s="31">
        <v>7891200</v>
      </c>
      <c r="B1354" s="32">
        <v>8800000</v>
      </c>
      <c r="C1354" s="33" t="s">
        <v>204</v>
      </c>
      <c r="D1354" s="33" t="s">
        <v>169</v>
      </c>
      <c r="E1354" s="34" t="s">
        <v>170</v>
      </c>
      <c r="F1354" s="33" t="s">
        <v>163</v>
      </c>
    </row>
    <row r="1355" spans="1:6" ht="15" thickBot="1">
      <c r="A1355" s="31">
        <v>7891414</v>
      </c>
      <c r="B1355" s="32">
        <v>90000</v>
      </c>
      <c r="C1355" s="33" t="s">
        <v>177</v>
      </c>
      <c r="D1355" s="33" t="s">
        <v>161</v>
      </c>
      <c r="E1355" s="33" t="s">
        <v>162</v>
      </c>
      <c r="F1355" s="33" t="s">
        <v>167</v>
      </c>
    </row>
    <row r="1356" spans="1:6" ht="15" thickBot="1">
      <c r="A1356" s="31">
        <v>7892083</v>
      </c>
      <c r="B1356" s="32">
        <v>7500000</v>
      </c>
      <c r="C1356" s="33" t="s">
        <v>177</v>
      </c>
      <c r="D1356" s="33" t="s">
        <v>161</v>
      </c>
      <c r="E1356" s="33" t="s">
        <v>162</v>
      </c>
      <c r="F1356" s="33" t="s">
        <v>163</v>
      </c>
    </row>
    <row r="1357" spans="1:6" ht="15" thickBot="1">
      <c r="A1357" s="31">
        <v>7892270</v>
      </c>
      <c r="B1357" s="32">
        <v>12000000</v>
      </c>
      <c r="C1357" s="33" t="s">
        <v>187</v>
      </c>
      <c r="D1357" s="33" t="s">
        <v>161</v>
      </c>
      <c r="E1357" s="33" t="s">
        <v>162</v>
      </c>
      <c r="F1357" s="33" t="s">
        <v>163</v>
      </c>
    </row>
    <row r="1358" spans="1:6" ht="15" thickBot="1">
      <c r="A1358" s="31">
        <v>7892328</v>
      </c>
      <c r="B1358" s="32">
        <v>9800000</v>
      </c>
      <c r="C1358" s="33" t="s">
        <v>284</v>
      </c>
      <c r="D1358" s="33" t="s">
        <v>174</v>
      </c>
      <c r="E1358" s="33" t="s">
        <v>166</v>
      </c>
      <c r="F1358" s="33" t="s">
        <v>163</v>
      </c>
    </row>
    <row r="1359" spans="1:6" ht="15" thickBot="1">
      <c r="A1359" s="31">
        <v>7892462</v>
      </c>
      <c r="B1359" s="32">
        <v>9900000</v>
      </c>
      <c r="C1359" s="33" t="s">
        <v>279</v>
      </c>
      <c r="D1359" s="33" t="s">
        <v>161</v>
      </c>
      <c r="E1359" s="33" t="s">
        <v>162</v>
      </c>
      <c r="F1359" s="33" t="s">
        <v>163</v>
      </c>
    </row>
    <row r="1360" spans="1:6" ht="15" thickBot="1">
      <c r="A1360" s="31">
        <v>7892505</v>
      </c>
      <c r="B1360" s="32">
        <v>6000000</v>
      </c>
      <c r="C1360" s="33" t="s">
        <v>408</v>
      </c>
      <c r="D1360" s="33" t="s">
        <v>174</v>
      </c>
      <c r="E1360" s="33" t="s">
        <v>166</v>
      </c>
      <c r="F1360" s="33" t="s">
        <v>163</v>
      </c>
    </row>
    <row r="1361" spans="1:6" ht="29" thickBot="1">
      <c r="A1361" s="31">
        <v>7892557</v>
      </c>
      <c r="B1361" s="32">
        <v>12500000</v>
      </c>
      <c r="C1361" s="33" t="s">
        <v>270</v>
      </c>
      <c r="D1361" s="33" t="s">
        <v>165</v>
      </c>
      <c r="E1361" s="33" t="s">
        <v>166</v>
      </c>
      <c r="F1361" s="33" t="s">
        <v>163</v>
      </c>
    </row>
    <row r="1362" spans="1:6" ht="15" thickBot="1">
      <c r="A1362" s="31">
        <v>7892617</v>
      </c>
      <c r="B1362" s="32">
        <v>36500000</v>
      </c>
      <c r="C1362" s="33" t="s">
        <v>177</v>
      </c>
      <c r="D1362" s="33" t="s">
        <v>174</v>
      </c>
      <c r="E1362" s="33" t="s">
        <v>166</v>
      </c>
      <c r="F1362" s="33" t="s">
        <v>163</v>
      </c>
    </row>
    <row r="1363" spans="1:6" ht="29" thickBot="1">
      <c r="A1363" s="31">
        <v>7892737</v>
      </c>
      <c r="B1363" s="32">
        <v>30000000</v>
      </c>
      <c r="C1363" s="33" t="s">
        <v>295</v>
      </c>
      <c r="D1363" s="33" t="s">
        <v>169</v>
      </c>
      <c r="E1363" s="34" t="s">
        <v>170</v>
      </c>
      <c r="F1363" s="33" t="s">
        <v>163</v>
      </c>
    </row>
    <row r="1364" spans="1:6" ht="15" thickBot="1">
      <c r="A1364" s="31">
        <v>7892743</v>
      </c>
      <c r="B1364" s="32">
        <v>67500000</v>
      </c>
      <c r="C1364" s="33" t="s">
        <v>409</v>
      </c>
      <c r="D1364" s="33" t="s">
        <v>169</v>
      </c>
      <c r="E1364" s="34" t="s">
        <v>170</v>
      </c>
      <c r="F1364" s="33" t="s">
        <v>163</v>
      </c>
    </row>
    <row r="1365" spans="1:6" ht="15" thickBot="1">
      <c r="A1365" s="31">
        <v>7893141</v>
      </c>
      <c r="B1365" s="32">
        <v>30000</v>
      </c>
      <c r="C1365" s="33" t="s">
        <v>180</v>
      </c>
      <c r="D1365" s="33" t="s">
        <v>165</v>
      </c>
      <c r="E1365" s="33" t="s">
        <v>166</v>
      </c>
      <c r="F1365" s="33" t="s">
        <v>167</v>
      </c>
    </row>
    <row r="1366" spans="1:6" ht="15" thickBot="1">
      <c r="A1366" s="31">
        <v>7893638</v>
      </c>
      <c r="B1366" s="32">
        <v>43000</v>
      </c>
      <c r="C1366" s="33" t="s">
        <v>171</v>
      </c>
      <c r="D1366" s="33" t="s">
        <v>161</v>
      </c>
      <c r="E1366" s="33" t="s">
        <v>162</v>
      </c>
      <c r="F1366" s="33" t="s">
        <v>167</v>
      </c>
    </row>
    <row r="1367" spans="1:6" ht="15" thickBot="1">
      <c r="A1367" s="31">
        <v>7893662</v>
      </c>
      <c r="B1367" s="32">
        <v>40000</v>
      </c>
      <c r="C1367" s="33" t="s">
        <v>263</v>
      </c>
      <c r="D1367" s="33" t="s">
        <v>161</v>
      </c>
      <c r="E1367" s="33" t="s">
        <v>162</v>
      </c>
      <c r="F1367" s="33" t="s">
        <v>167</v>
      </c>
    </row>
    <row r="1368" spans="1:6" ht="15" thickBot="1">
      <c r="A1368" s="31">
        <v>7893692</v>
      </c>
      <c r="B1368" s="32">
        <v>20000000</v>
      </c>
      <c r="C1368" s="33" t="s">
        <v>211</v>
      </c>
      <c r="D1368" s="33" t="s">
        <v>161</v>
      </c>
      <c r="E1368" s="33" t="s">
        <v>162</v>
      </c>
      <c r="F1368" s="33" t="s">
        <v>163</v>
      </c>
    </row>
    <row r="1369" spans="1:6" ht="15" thickBot="1">
      <c r="A1369" s="31">
        <v>7894322</v>
      </c>
      <c r="B1369" s="32">
        <v>32500000</v>
      </c>
      <c r="C1369" s="33" t="s">
        <v>177</v>
      </c>
      <c r="D1369" s="33" t="s">
        <v>161</v>
      </c>
      <c r="E1369" s="33" t="s">
        <v>162</v>
      </c>
      <c r="F1369" s="33" t="s">
        <v>163</v>
      </c>
    </row>
    <row r="1370" spans="1:6" ht="15" thickBot="1">
      <c r="A1370" s="31">
        <v>7894450</v>
      </c>
      <c r="B1370" s="32">
        <v>4800000</v>
      </c>
      <c r="C1370" s="33" t="s">
        <v>410</v>
      </c>
      <c r="D1370" s="33" t="s">
        <v>169</v>
      </c>
      <c r="E1370" s="34" t="s">
        <v>170</v>
      </c>
      <c r="F1370" s="33" t="s">
        <v>163</v>
      </c>
    </row>
    <row r="1371" spans="1:6" ht="15" thickBot="1">
      <c r="A1371" s="31">
        <v>7894519</v>
      </c>
      <c r="B1371" s="32">
        <v>8900000</v>
      </c>
      <c r="C1371" s="33" t="s">
        <v>160</v>
      </c>
      <c r="D1371" s="33" t="s">
        <v>174</v>
      </c>
      <c r="E1371" s="33" t="s">
        <v>166</v>
      </c>
      <c r="F1371" s="33" t="s">
        <v>163</v>
      </c>
    </row>
    <row r="1372" spans="1:6" ht="15" thickBot="1">
      <c r="A1372" s="31">
        <v>7894669</v>
      </c>
      <c r="B1372" s="32">
        <v>20000</v>
      </c>
      <c r="C1372" s="33" t="s">
        <v>279</v>
      </c>
      <c r="D1372" s="33" t="s">
        <v>161</v>
      </c>
      <c r="E1372" s="33" t="s">
        <v>162</v>
      </c>
      <c r="F1372" s="33" t="s">
        <v>167</v>
      </c>
    </row>
    <row r="1373" spans="1:6" ht="15" thickBot="1">
      <c r="A1373" s="31">
        <v>7894682</v>
      </c>
      <c r="B1373" s="32">
        <v>10500000</v>
      </c>
      <c r="C1373" s="33" t="s">
        <v>411</v>
      </c>
      <c r="D1373" s="33" t="s">
        <v>174</v>
      </c>
      <c r="E1373" s="33" t="s">
        <v>166</v>
      </c>
      <c r="F1373" s="33" t="s">
        <v>163</v>
      </c>
    </row>
    <row r="1374" spans="1:6" ht="15" thickBot="1">
      <c r="A1374" s="31">
        <v>7894798</v>
      </c>
      <c r="B1374" s="32">
        <v>18000</v>
      </c>
      <c r="C1374" s="33" t="s">
        <v>279</v>
      </c>
      <c r="D1374" s="33" t="s">
        <v>161</v>
      </c>
      <c r="E1374" s="33" t="s">
        <v>162</v>
      </c>
      <c r="F1374" s="33" t="s">
        <v>167</v>
      </c>
    </row>
    <row r="1375" spans="1:6" ht="15" thickBot="1">
      <c r="A1375" s="31">
        <v>7894865</v>
      </c>
      <c r="B1375" s="32">
        <v>5000000</v>
      </c>
      <c r="C1375" s="33" t="s">
        <v>298</v>
      </c>
      <c r="D1375" s="33" t="s">
        <v>174</v>
      </c>
      <c r="E1375" s="33" t="s">
        <v>166</v>
      </c>
      <c r="F1375" s="33" t="s">
        <v>163</v>
      </c>
    </row>
    <row r="1376" spans="1:6" ht="15" thickBot="1">
      <c r="A1376" s="31">
        <v>7895090</v>
      </c>
      <c r="B1376" s="32">
        <v>50000000</v>
      </c>
      <c r="C1376" s="33" t="s">
        <v>412</v>
      </c>
      <c r="D1376" s="33" t="s">
        <v>169</v>
      </c>
      <c r="E1376" s="34" t="s">
        <v>170</v>
      </c>
      <c r="F1376" s="33" t="s">
        <v>163</v>
      </c>
    </row>
    <row r="1377" spans="1:6" ht="15" thickBot="1">
      <c r="A1377" s="31">
        <v>7895629</v>
      </c>
      <c r="B1377" s="32">
        <v>15000000</v>
      </c>
      <c r="C1377" s="33" t="s">
        <v>298</v>
      </c>
      <c r="D1377" s="33" t="s">
        <v>174</v>
      </c>
      <c r="E1377" s="33" t="s">
        <v>166</v>
      </c>
      <c r="F1377" s="33" t="s">
        <v>163</v>
      </c>
    </row>
    <row r="1378" spans="1:6" ht="15" thickBot="1">
      <c r="A1378" s="31">
        <v>7896427</v>
      </c>
      <c r="B1378" s="32">
        <v>8700000</v>
      </c>
      <c r="C1378" s="33" t="s">
        <v>413</v>
      </c>
      <c r="D1378" s="33" t="s">
        <v>174</v>
      </c>
      <c r="E1378" s="33" t="s">
        <v>166</v>
      </c>
      <c r="F1378" s="33" t="s">
        <v>163</v>
      </c>
    </row>
    <row r="1379" spans="1:6" ht="15" thickBot="1">
      <c r="A1379" s="31">
        <v>7896544</v>
      </c>
      <c r="B1379" s="32">
        <v>30000</v>
      </c>
      <c r="C1379" s="33" t="s">
        <v>391</v>
      </c>
      <c r="D1379" s="33" t="s">
        <v>165</v>
      </c>
      <c r="E1379" s="33" t="s">
        <v>166</v>
      </c>
      <c r="F1379" s="33" t="s">
        <v>167</v>
      </c>
    </row>
    <row r="1380" spans="1:6" ht="15" thickBot="1">
      <c r="A1380" s="31">
        <v>7896583</v>
      </c>
      <c r="B1380" s="32">
        <v>4000000</v>
      </c>
      <c r="C1380" s="33" t="s">
        <v>235</v>
      </c>
      <c r="D1380" s="33" t="s">
        <v>161</v>
      </c>
      <c r="E1380" s="33" t="s">
        <v>162</v>
      </c>
      <c r="F1380" s="33" t="s">
        <v>163</v>
      </c>
    </row>
    <row r="1381" spans="1:6" ht="15" thickBot="1">
      <c r="A1381" s="31">
        <v>7896916</v>
      </c>
      <c r="B1381" s="32">
        <v>38000000</v>
      </c>
      <c r="C1381" s="33" t="s">
        <v>172</v>
      </c>
      <c r="D1381" s="33" t="s">
        <v>169</v>
      </c>
      <c r="E1381" s="34" t="s">
        <v>170</v>
      </c>
      <c r="F1381" s="33" t="s">
        <v>163</v>
      </c>
    </row>
    <row r="1382" spans="1:6" ht="15" thickBot="1">
      <c r="A1382" s="31">
        <v>7897141</v>
      </c>
      <c r="B1382" s="32">
        <v>9500000</v>
      </c>
      <c r="C1382" s="33" t="s">
        <v>380</v>
      </c>
      <c r="D1382" s="33" t="s">
        <v>174</v>
      </c>
      <c r="E1382" s="33" t="s">
        <v>166</v>
      </c>
      <c r="F1382" s="33" t="s">
        <v>163</v>
      </c>
    </row>
    <row r="1383" spans="1:6" ht="15" thickBot="1">
      <c r="A1383" s="31">
        <v>7897200</v>
      </c>
      <c r="B1383" s="32">
        <v>16000</v>
      </c>
      <c r="C1383" s="33" t="s">
        <v>396</v>
      </c>
      <c r="D1383" s="33" t="s">
        <v>165</v>
      </c>
      <c r="E1383" s="33" t="s">
        <v>166</v>
      </c>
      <c r="F1383" s="33" t="s">
        <v>167</v>
      </c>
    </row>
    <row r="1384" spans="1:6" ht="29" thickBot="1">
      <c r="A1384" s="31">
        <v>7897262</v>
      </c>
      <c r="B1384" s="32">
        <v>8500000</v>
      </c>
      <c r="C1384" s="33" t="s">
        <v>414</v>
      </c>
      <c r="D1384" s="33" t="s">
        <v>174</v>
      </c>
      <c r="E1384" s="33" t="s">
        <v>166</v>
      </c>
      <c r="F1384" s="33" t="s">
        <v>163</v>
      </c>
    </row>
    <row r="1385" spans="1:6" ht="15" thickBot="1">
      <c r="A1385" s="31">
        <v>7897454</v>
      </c>
      <c r="B1385" s="32">
        <v>45000000</v>
      </c>
      <c r="C1385" s="33" t="s">
        <v>196</v>
      </c>
      <c r="D1385" s="33" t="s">
        <v>161</v>
      </c>
      <c r="E1385" s="33" t="s">
        <v>162</v>
      </c>
      <c r="F1385" s="33" t="s">
        <v>163</v>
      </c>
    </row>
    <row r="1386" spans="1:6" ht="15" thickBot="1">
      <c r="A1386" s="31">
        <v>7897471</v>
      </c>
      <c r="B1386" s="32">
        <v>45000000</v>
      </c>
      <c r="C1386" s="33" t="s">
        <v>415</v>
      </c>
      <c r="D1386" s="33" t="s">
        <v>200</v>
      </c>
      <c r="E1386" s="33" t="s">
        <v>166</v>
      </c>
      <c r="F1386" s="33" t="s">
        <v>163</v>
      </c>
    </row>
    <row r="1387" spans="1:6" ht="15" thickBot="1">
      <c r="A1387" s="31">
        <v>7897535</v>
      </c>
      <c r="B1387" s="32">
        <v>65000000</v>
      </c>
      <c r="C1387" s="33" t="s">
        <v>269</v>
      </c>
      <c r="D1387" s="33" t="s">
        <v>174</v>
      </c>
      <c r="E1387" s="33" t="s">
        <v>166</v>
      </c>
      <c r="F1387" s="33" t="s">
        <v>163</v>
      </c>
    </row>
    <row r="1388" spans="1:6" ht="15" thickBot="1">
      <c r="A1388" s="31">
        <v>7897537</v>
      </c>
      <c r="B1388" s="32">
        <v>9500000</v>
      </c>
      <c r="C1388" s="33" t="s">
        <v>380</v>
      </c>
      <c r="D1388" s="33" t="s">
        <v>174</v>
      </c>
      <c r="E1388" s="33" t="s">
        <v>166</v>
      </c>
      <c r="F1388" s="33" t="s">
        <v>163</v>
      </c>
    </row>
    <row r="1389" spans="1:6" ht="15" thickBot="1">
      <c r="A1389" s="31">
        <v>7897773</v>
      </c>
      <c r="B1389" s="32">
        <v>42500000</v>
      </c>
      <c r="C1389" s="33" t="s">
        <v>309</v>
      </c>
      <c r="D1389" s="33" t="s">
        <v>165</v>
      </c>
      <c r="E1389" s="33" t="s">
        <v>166</v>
      </c>
      <c r="F1389" s="33" t="s">
        <v>163</v>
      </c>
    </row>
    <row r="1390" spans="1:6" ht="15" thickBot="1">
      <c r="A1390" s="31">
        <v>7897928</v>
      </c>
      <c r="B1390" s="32">
        <v>3500000</v>
      </c>
      <c r="C1390" s="33" t="s">
        <v>264</v>
      </c>
      <c r="D1390" s="33" t="s">
        <v>169</v>
      </c>
      <c r="E1390" s="34" t="s">
        <v>170</v>
      </c>
      <c r="F1390" s="33" t="s">
        <v>163</v>
      </c>
    </row>
    <row r="1391" spans="1:6" ht="15" thickBot="1">
      <c r="A1391" s="31">
        <v>7898013</v>
      </c>
      <c r="B1391" s="32">
        <v>6500000</v>
      </c>
      <c r="C1391" s="33" t="s">
        <v>416</v>
      </c>
      <c r="D1391" s="33" t="s">
        <v>165</v>
      </c>
      <c r="E1391" s="33" t="s">
        <v>166</v>
      </c>
      <c r="F1391" s="33" t="s">
        <v>163</v>
      </c>
    </row>
    <row r="1392" spans="1:6" ht="15" thickBot="1">
      <c r="A1392" s="31">
        <v>7898018</v>
      </c>
      <c r="B1392" s="32">
        <v>13500000</v>
      </c>
      <c r="C1392" s="33" t="s">
        <v>417</v>
      </c>
      <c r="D1392" s="33" t="s">
        <v>161</v>
      </c>
      <c r="E1392" s="33" t="s">
        <v>162</v>
      </c>
      <c r="F1392" s="33" t="s">
        <v>163</v>
      </c>
    </row>
    <row r="1393" spans="1:6" ht="15" thickBot="1">
      <c r="A1393" s="31">
        <v>7898250</v>
      </c>
      <c r="B1393" s="32">
        <v>24500000</v>
      </c>
      <c r="C1393" s="33" t="s">
        <v>418</v>
      </c>
      <c r="D1393" s="33" t="s">
        <v>174</v>
      </c>
      <c r="E1393" s="33" t="s">
        <v>166</v>
      </c>
      <c r="F1393" s="33" t="s">
        <v>163</v>
      </c>
    </row>
    <row r="1394" spans="1:6" ht="15" thickBot="1">
      <c r="A1394" s="31">
        <v>7898324</v>
      </c>
      <c r="B1394" s="32">
        <v>50000000</v>
      </c>
      <c r="C1394" s="33" t="s">
        <v>210</v>
      </c>
      <c r="D1394" s="33" t="s">
        <v>169</v>
      </c>
      <c r="E1394" s="34" t="s">
        <v>170</v>
      </c>
      <c r="F1394" s="33" t="s">
        <v>163</v>
      </c>
    </row>
    <row r="1395" spans="1:6" ht="15" thickBot="1">
      <c r="A1395" s="31">
        <v>7898445</v>
      </c>
      <c r="B1395" s="32">
        <v>5000000</v>
      </c>
      <c r="C1395" s="33" t="s">
        <v>419</v>
      </c>
      <c r="D1395" s="33" t="s">
        <v>200</v>
      </c>
      <c r="E1395" s="33" t="s">
        <v>166</v>
      </c>
      <c r="F1395" s="33" t="s">
        <v>163</v>
      </c>
    </row>
    <row r="1396" spans="1:6" ht="15" thickBot="1">
      <c r="A1396" s="31">
        <v>7898933</v>
      </c>
      <c r="B1396" s="32">
        <v>17000000</v>
      </c>
      <c r="C1396" s="33" t="s">
        <v>210</v>
      </c>
      <c r="D1396" s="33" t="s">
        <v>169</v>
      </c>
      <c r="E1396" s="34" t="s">
        <v>170</v>
      </c>
      <c r="F1396" s="33" t="s">
        <v>163</v>
      </c>
    </row>
    <row r="1397" spans="1:6" ht="15" thickBot="1">
      <c r="A1397" s="31">
        <v>7899675</v>
      </c>
      <c r="B1397" s="32">
        <v>6000000</v>
      </c>
      <c r="C1397" s="33" t="s">
        <v>420</v>
      </c>
      <c r="D1397" s="33" t="s">
        <v>174</v>
      </c>
      <c r="E1397" s="33" t="s">
        <v>166</v>
      </c>
      <c r="F1397" s="33" t="s">
        <v>163</v>
      </c>
    </row>
    <row r="1398" spans="1:6" ht="15" thickBot="1">
      <c r="A1398" s="31">
        <v>7900404</v>
      </c>
      <c r="B1398" s="32">
        <v>16000</v>
      </c>
      <c r="C1398" s="33" t="s">
        <v>385</v>
      </c>
      <c r="D1398" s="33" t="s">
        <v>165</v>
      </c>
      <c r="E1398" s="33" t="s">
        <v>166</v>
      </c>
      <c r="F1398" s="33" t="s">
        <v>167</v>
      </c>
    </row>
    <row r="1399" spans="1:6" ht="15" thickBot="1">
      <c r="A1399" s="31">
        <v>7900933</v>
      </c>
      <c r="B1399" s="32">
        <v>4000000</v>
      </c>
      <c r="C1399" s="33" t="s">
        <v>421</v>
      </c>
      <c r="D1399" s="33" t="s">
        <v>161</v>
      </c>
      <c r="E1399" s="33" t="s">
        <v>162</v>
      </c>
      <c r="F1399" s="33" t="s">
        <v>163</v>
      </c>
    </row>
    <row r="1400" spans="1:6" ht="15" thickBot="1">
      <c r="A1400" s="31">
        <v>7902499</v>
      </c>
      <c r="B1400" s="32">
        <v>250000</v>
      </c>
      <c r="C1400" s="33" t="s">
        <v>177</v>
      </c>
      <c r="D1400" s="33" t="s">
        <v>161</v>
      </c>
      <c r="E1400" s="33" t="s">
        <v>162</v>
      </c>
      <c r="F1400" s="33" t="s">
        <v>167</v>
      </c>
    </row>
    <row r="1401" spans="1:6" ht="15" thickBot="1">
      <c r="A1401" s="31">
        <v>7902500</v>
      </c>
      <c r="B1401" s="32">
        <v>250000</v>
      </c>
      <c r="C1401" s="33" t="s">
        <v>177</v>
      </c>
      <c r="D1401" s="33" t="s">
        <v>161</v>
      </c>
      <c r="E1401" s="33" t="s">
        <v>162</v>
      </c>
      <c r="F1401" s="33" t="s">
        <v>167</v>
      </c>
    </row>
    <row r="1402" spans="1:6" ht="15" thickBot="1">
      <c r="A1402" s="31">
        <v>7902501</v>
      </c>
      <c r="B1402" s="32">
        <v>250000</v>
      </c>
      <c r="C1402" s="33" t="s">
        <v>177</v>
      </c>
      <c r="D1402" s="33" t="s">
        <v>161</v>
      </c>
      <c r="E1402" s="33" t="s">
        <v>162</v>
      </c>
      <c r="F1402" s="33" t="s">
        <v>167</v>
      </c>
    </row>
    <row r="1403" spans="1:6" ht="15" thickBot="1">
      <c r="A1403" s="31">
        <v>7904212</v>
      </c>
      <c r="B1403" s="32">
        <v>5200000</v>
      </c>
      <c r="C1403" s="33" t="s">
        <v>190</v>
      </c>
      <c r="D1403" s="33" t="s">
        <v>169</v>
      </c>
      <c r="E1403" s="34" t="s">
        <v>170</v>
      </c>
      <c r="F1403" s="33" t="s">
        <v>163</v>
      </c>
    </row>
    <row r="1404" spans="1:6" ht="15" thickBot="1">
      <c r="A1404" s="31">
        <v>7905194</v>
      </c>
      <c r="B1404" s="32">
        <v>12600000</v>
      </c>
      <c r="C1404" s="33" t="s">
        <v>180</v>
      </c>
      <c r="D1404" s="33" t="s">
        <v>165</v>
      </c>
      <c r="E1404" s="33" t="s">
        <v>166</v>
      </c>
      <c r="F1404" s="33" t="s">
        <v>163</v>
      </c>
    </row>
    <row r="1405" spans="1:6" ht="15" thickBot="1">
      <c r="A1405" s="31">
        <v>7905719</v>
      </c>
      <c r="B1405" s="32">
        <v>4000000</v>
      </c>
      <c r="C1405" s="33" t="s">
        <v>187</v>
      </c>
      <c r="D1405" s="33" t="s">
        <v>161</v>
      </c>
      <c r="E1405" s="33" t="s">
        <v>162</v>
      </c>
      <c r="F1405" s="33" t="s">
        <v>163</v>
      </c>
    </row>
    <row r="1406" spans="1:6" ht="15" thickBot="1">
      <c r="A1406" s="31">
        <v>7906406</v>
      </c>
      <c r="B1406" s="32">
        <v>32000</v>
      </c>
      <c r="C1406" s="33" t="s">
        <v>180</v>
      </c>
      <c r="D1406" s="33" t="s">
        <v>165</v>
      </c>
      <c r="E1406" s="33" t="s">
        <v>166</v>
      </c>
      <c r="F1406" s="33" t="s">
        <v>167</v>
      </c>
    </row>
    <row r="1407" spans="1:6" ht="15" thickBot="1">
      <c r="A1407" s="31">
        <v>7907594</v>
      </c>
      <c r="B1407" s="32">
        <v>170000000</v>
      </c>
      <c r="C1407" s="33" t="s">
        <v>191</v>
      </c>
      <c r="D1407" s="33" t="s">
        <v>169</v>
      </c>
      <c r="E1407" s="34" t="s">
        <v>170</v>
      </c>
      <c r="F1407" s="33" t="s">
        <v>163</v>
      </c>
    </row>
    <row r="1408" spans="1:6" ht="15" thickBot="1">
      <c r="A1408" s="31">
        <v>7908264</v>
      </c>
      <c r="B1408" s="32">
        <v>14000000</v>
      </c>
      <c r="C1408" s="33" t="s">
        <v>235</v>
      </c>
      <c r="D1408" s="33" t="s">
        <v>161</v>
      </c>
      <c r="E1408" s="33" t="s">
        <v>162</v>
      </c>
      <c r="F1408" s="33" t="s">
        <v>163</v>
      </c>
    </row>
    <row r="1409" spans="1:6" ht="15" thickBot="1">
      <c r="A1409" s="31">
        <v>7910165</v>
      </c>
      <c r="B1409" s="32">
        <v>12500000</v>
      </c>
      <c r="C1409" s="33" t="s">
        <v>183</v>
      </c>
      <c r="D1409" s="33" t="s">
        <v>169</v>
      </c>
      <c r="E1409" s="34" t="s">
        <v>170</v>
      </c>
      <c r="F1409" s="33" t="s">
        <v>163</v>
      </c>
    </row>
    <row r="1410" spans="1:6" ht="15" thickBot="1">
      <c r="A1410" s="31">
        <v>7911848</v>
      </c>
      <c r="B1410" s="32">
        <v>18000000</v>
      </c>
      <c r="C1410" s="33" t="s">
        <v>298</v>
      </c>
      <c r="D1410" s="33" t="s">
        <v>174</v>
      </c>
      <c r="E1410" s="33" t="s">
        <v>166</v>
      </c>
      <c r="F1410" s="33" t="s">
        <v>163</v>
      </c>
    </row>
    <row r="1411" spans="1:6" ht="15" thickBot="1">
      <c r="A1411" s="31">
        <v>7912022</v>
      </c>
      <c r="B1411" s="32">
        <v>52000000</v>
      </c>
      <c r="C1411" s="33" t="s">
        <v>217</v>
      </c>
      <c r="D1411" s="33" t="s">
        <v>169</v>
      </c>
      <c r="E1411" s="34" t="s">
        <v>170</v>
      </c>
      <c r="F1411" s="33" t="s">
        <v>163</v>
      </c>
    </row>
    <row r="1412" spans="1:6" ht="15" thickBot="1">
      <c r="A1412" s="31">
        <v>7912151</v>
      </c>
      <c r="B1412" s="32">
        <v>9000000</v>
      </c>
      <c r="C1412" s="33" t="s">
        <v>422</v>
      </c>
      <c r="D1412" s="33" t="s">
        <v>174</v>
      </c>
      <c r="E1412" s="33" t="s">
        <v>166</v>
      </c>
      <c r="F1412" s="33" t="s">
        <v>163</v>
      </c>
    </row>
    <row r="1413" spans="1:6" ht="15" thickBot="1">
      <c r="A1413" s="31">
        <v>7912408</v>
      </c>
      <c r="B1413" s="32">
        <v>9800000</v>
      </c>
      <c r="C1413" s="33" t="s">
        <v>300</v>
      </c>
      <c r="D1413" s="33" t="s">
        <v>161</v>
      </c>
      <c r="E1413" s="33" t="s">
        <v>162</v>
      </c>
      <c r="F1413" s="33" t="s">
        <v>163</v>
      </c>
    </row>
    <row r="1414" spans="1:6" ht="15" thickBot="1">
      <c r="A1414" s="31">
        <v>7912710</v>
      </c>
      <c r="B1414" s="32">
        <v>8500000</v>
      </c>
      <c r="C1414" s="33" t="s">
        <v>160</v>
      </c>
      <c r="D1414" s="33" t="s">
        <v>161</v>
      </c>
      <c r="E1414" s="33" t="s">
        <v>162</v>
      </c>
      <c r="F1414" s="33" t="s">
        <v>163</v>
      </c>
    </row>
    <row r="1415" spans="1:6" ht="15" thickBot="1">
      <c r="A1415" s="31">
        <v>7912745</v>
      </c>
      <c r="B1415" s="32">
        <v>40000000</v>
      </c>
      <c r="C1415" s="33" t="s">
        <v>279</v>
      </c>
      <c r="D1415" s="33" t="s">
        <v>161</v>
      </c>
      <c r="E1415" s="33" t="s">
        <v>162</v>
      </c>
      <c r="F1415" s="33" t="s">
        <v>163</v>
      </c>
    </row>
    <row r="1416" spans="1:6" ht="15" thickBot="1">
      <c r="A1416" s="31">
        <v>7912891</v>
      </c>
      <c r="B1416" s="32">
        <v>46500000</v>
      </c>
      <c r="C1416" s="33" t="s">
        <v>177</v>
      </c>
      <c r="D1416" s="33" t="s">
        <v>169</v>
      </c>
      <c r="E1416" s="34" t="s">
        <v>170</v>
      </c>
      <c r="F1416" s="33" t="s">
        <v>163</v>
      </c>
    </row>
    <row r="1417" spans="1:6" ht="15" thickBot="1">
      <c r="A1417" s="31">
        <v>7912921</v>
      </c>
      <c r="B1417" s="32">
        <v>35000</v>
      </c>
      <c r="C1417" s="33" t="s">
        <v>196</v>
      </c>
      <c r="D1417" s="33" t="s">
        <v>161</v>
      </c>
      <c r="E1417" s="33" t="s">
        <v>162</v>
      </c>
      <c r="F1417" s="33" t="s">
        <v>167</v>
      </c>
    </row>
    <row r="1418" spans="1:6" ht="15" thickBot="1">
      <c r="A1418" s="31">
        <v>7912958</v>
      </c>
      <c r="B1418" s="32">
        <v>40000</v>
      </c>
      <c r="C1418" s="33" t="s">
        <v>196</v>
      </c>
      <c r="D1418" s="33" t="s">
        <v>161</v>
      </c>
      <c r="E1418" s="33" t="s">
        <v>162</v>
      </c>
      <c r="F1418" s="33" t="s">
        <v>167</v>
      </c>
    </row>
    <row r="1419" spans="1:6" ht="15" thickBot="1">
      <c r="A1419" s="31">
        <v>7912972</v>
      </c>
      <c r="B1419" s="32">
        <v>45000</v>
      </c>
      <c r="C1419" s="33" t="s">
        <v>196</v>
      </c>
      <c r="D1419" s="33" t="s">
        <v>161</v>
      </c>
      <c r="E1419" s="33" t="s">
        <v>162</v>
      </c>
      <c r="F1419" s="33" t="s">
        <v>167</v>
      </c>
    </row>
    <row r="1420" spans="1:6" ht="15" thickBot="1">
      <c r="A1420" s="31">
        <v>7912988</v>
      </c>
      <c r="B1420" s="32">
        <v>45000</v>
      </c>
      <c r="C1420" s="33" t="s">
        <v>196</v>
      </c>
      <c r="D1420" s="33" t="s">
        <v>161</v>
      </c>
      <c r="E1420" s="33" t="s">
        <v>162</v>
      </c>
      <c r="F1420" s="33" t="s">
        <v>167</v>
      </c>
    </row>
    <row r="1421" spans="1:6" ht="15" thickBot="1">
      <c r="A1421" s="31">
        <v>7913011</v>
      </c>
      <c r="B1421" s="32">
        <v>55000</v>
      </c>
      <c r="C1421" s="33" t="s">
        <v>196</v>
      </c>
      <c r="D1421" s="33" t="s">
        <v>161</v>
      </c>
      <c r="E1421" s="33" t="s">
        <v>162</v>
      </c>
      <c r="F1421" s="33" t="s">
        <v>167</v>
      </c>
    </row>
    <row r="1422" spans="1:6" ht="15" thickBot="1">
      <c r="A1422" s="31">
        <v>7913143</v>
      </c>
      <c r="B1422" s="32">
        <v>6000000</v>
      </c>
      <c r="C1422" s="33" t="s">
        <v>196</v>
      </c>
      <c r="D1422" s="33" t="s">
        <v>161</v>
      </c>
      <c r="E1422" s="33" t="s">
        <v>162</v>
      </c>
      <c r="F1422" s="33" t="s">
        <v>163</v>
      </c>
    </row>
    <row r="1423" spans="1:6" ht="15" thickBot="1">
      <c r="A1423" s="31">
        <v>7913176</v>
      </c>
      <c r="B1423" s="32">
        <v>9500000</v>
      </c>
      <c r="C1423" s="33" t="s">
        <v>298</v>
      </c>
      <c r="D1423" s="33" t="s">
        <v>174</v>
      </c>
      <c r="E1423" s="33" t="s">
        <v>166</v>
      </c>
      <c r="F1423" s="33" t="s">
        <v>163</v>
      </c>
    </row>
    <row r="1424" spans="1:6" ht="15" thickBot="1">
      <c r="A1424" s="31">
        <v>7913281</v>
      </c>
      <c r="B1424" s="32">
        <v>10500000</v>
      </c>
      <c r="C1424" s="33" t="s">
        <v>335</v>
      </c>
      <c r="D1424" s="33" t="s">
        <v>165</v>
      </c>
      <c r="E1424" s="33" t="s">
        <v>166</v>
      </c>
      <c r="F1424" s="33" t="s">
        <v>163</v>
      </c>
    </row>
    <row r="1425" spans="1:6" ht="15" thickBot="1">
      <c r="A1425" s="31">
        <v>7913363</v>
      </c>
      <c r="B1425" s="32">
        <v>11800000</v>
      </c>
      <c r="C1425" s="33" t="s">
        <v>423</v>
      </c>
      <c r="D1425" s="33" t="s">
        <v>161</v>
      </c>
      <c r="E1425" s="33" t="s">
        <v>162</v>
      </c>
      <c r="F1425" s="33" t="s">
        <v>163</v>
      </c>
    </row>
    <row r="1426" spans="1:6" ht="15" thickBot="1">
      <c r="A1426" s="31">
        <v>7913392</v>
      </c>
      <c r="B1426" s="32">
        <v>10000000</v>
      </c>
      <c r="C1426" s="33" t="s">
        <v>424</v>
      </c>
      <c r="D1426" s="33" t="s">
        <v>169</v>
      </c>
      <c r="E1426" s="34" t="s">
        <v>170</v>
      </c>
      <c r="F1426" s="33" t="s">
        <v>163</v>
      </c>
    </row>
    <row r="1427" spans="1:6" ht="15" thickBot="1">
      <c r="A1427" s="31">
        <v>7913399</v>
      </c>
      <c r="B1427" s="32">
        <v>3500000</v>
      </c>
      <c r="C1427" s="33" t="s">
        <v>187</v>
      </c>
      <c r="D1427" s="33" t="s">
        <v>161</v>
      </c>
      <c r="E1427" s="33" t="s">
        <v>162</v>
      </c>
      <c r="F1427" s="33" t="s">
        <v>163</v>
      </c>
    </row>
    <row r="1428" spans="1:6" ht="15" thickBot="1">
      <c r="A1428" s="31">
        <v>7913469</v>
      </c>
      <c r="B1428" s="32">
        <v>38500000</v>
      </c>
      <c r="C1428" s="33" t="s">
        <v>279</v>
      </c>
      <c r="D1428" s="33" t="s">
        <v>161</v>
      </c>
      <c r="E1428" s="33" t="s">
        <v>162</v>
      </c>
      <c r="F1428" s="33" t="s">
        <v>163</v>
      </c>
    </row>
    <row r="1429" spans="1:6" ht="29" thickBot="1">
      <c r="A1429" s="31">
        <v>7913609</v>
      </c>
      <c r="B1429" s="32">
        <v>30000000</v>
      </c>
      <c r="C1429" s="33" t="s">
        <v>425</v>
      </c>
      <c r="D1429" s="33" t="s">
        <v>169</v>
      </c>
      <c r="E1429" s="34" t="s">
        <v>170</v>
      </c>
      <c r="F1429" s="33" t="s">
        <v>163</v>
      </c>
    </row>
    <row r="1430" spans="1:6" ht="15" thickBot="1">
      <c r="A1430" s="31">
        <v>7916683</v>
      </c>
      <c r="B1430" s="32">
        <v>35000000</v>
      </c>
      <c r="C1430" s="33" t="s">
        <v>279</v>
      </c>
      <c r="D1430" s="33" t="s">
        <v>161</v>
      </c>
      <c r="E1430" s="33" t="s">
        <v>162</v>
      </c>
      <c r="F1430" s="33" t="s">
        <v>163</v>
      </c>
    </row>
    <row r="1431" spans="1:6" ht="15" thickBot="1">
      <c r="A1431" s="31">
        <v>7919235</v>
      </c>
      <c r="B1431" s="32">
        <v>33000000</v>
      </c>
      <c r="C1431" s="33" t="s">
        <v>188</v>
      </c>
      <c r="D1431" s="33" t="s">
        <v>165</v>
      </c>
      <c r="E1431" s="33" t="s">
        <v>166</v>
      </c>
      <c r="F1431" s="33" t="s">
        <v>163</v>
      </c>
    </row>
    <row r="1432" spans="1:6" ht="15" thickBot="1">
      <c r="A1432" s="31">
        <v>7920099</v>
      </c>
      <c r="B1432" s="32">
        <v>21000000</v>
      </c>
      <c r="C1432" s="33" t="s">
        <v>168</v>
      </c>
      <c r="D1432" s="33" t="s">
        <v>169</v>
      </c>
      <c r="E1432" s="34" t="s">
        <v>170</v>
      </c>
      <c r="F1432" s="33" t="s">
        <v>163</v>
      </c>
    </row>
    <row r="1433" spans="1:6" ht="15" thickBot="1">
      <c r="A1433" s="31">
        <v>7920633</v>
      </c>
      <c r="B1433" s="32">
        <v>12500000</v>
      </c>
      <c r="C1433" s="33" t="s">
        <v>426</v>
      </c>
      <c r="D1433" s="33" t="s">
        <v>165</v>
      </c>
      <c r="E1433" s="33" t="s">
        <v>166</v>
      </c>
      <c r="F1433" s="33" t="s">
        <v>163</v>
      </c>
    </row>
    <row r="1434" spans="1:6" ht="15" thickBot="1">
      <c r="A1434" s="31">
        <v>7921523</v>
      </c>
      <c r="B1434" s="32">
        <v>13500000</v>
      </c>
      <c r="C1434" s="33" t="s">
        <v>204</v>
      </c>
      <c r="D1434" s="33" t="s">
        <v>169</v>
      </c>
      <c r="E1434" s="34" t="s">
        <v>170</v>
      </c>
      <c r="F1434" s="33" t="s">
        <v>163</v>
      </c>
    </row>
    <row r="1435" spans="1:6" ht="29" thickBot="1">
      <c r="A1435" s="31">
        <v>7921956</v>
      </c>
      <c r="B1435" s="32">
        <v>12500000</v>
      </c>
      <c r="C1435" s="33" t="s">
        <v>427</v>
      </c>
      <c r="D1435" s="33" t="s">
        <v>174</v>
      </c>
      <c r="E1435" s="33" t="s">
        <v>166</v>
      </c>
      <c r="F1435" s="33" t="s">
        <v>163</v>
      </c>
    </row>
    <row r="1436" spans="1:6" ht="15" thickBot="1">
      <c r="A1436" s="31">
        <v>7922057</v>
      </c>
      <c r="B1436" s="32">
        <v>9900000</v>
      </c>
      <c r="C1436" s="33" t="s">
        <v>289</v>
      </c>
      <c r="D1436" s="33" t="s">
        <v>174</v>
      </c>
      <c r="E1436" s="33" t="s">
        <v>166</v>
      </c>
      <c r="F1436" s="33" t="s">
        <v>163</v>
      </c>
    </row>
    <row r="1437" spans="1:6" ht="15" thickBot="1">
      <c r="A1437" s="31">
        <v>7922147</v>
      </c>
      <c r="B1437" s="32">
        <v>3200000</v>
      </c>
      <c r="C1437" s="33" t="s">
        <v>428</v>
      </c>
      <c r="D1437" s="33" t="s">
        <v>174</v>
      </c>
      <c r="E1437" s="33" t="s">
        <v>166</v>
      </c>
      <c r="F1437" s="33" t="s">
        <v>163</v>
      </c>
    </row>
    <row r="1438" spans="1:6" ht="15" thickBot="1">
      <c r="A1438" s="31">
        <v>7922664</v>
      </c>
      <c r="B1438" s="32">
        <v>12000000</v>
      </c>
      <c r="C1438" s="33" t="s">
        <v>429</v>
      </c>
      <c r="D1438" s="33" t="s">
        <v>161</v>
      </c>
      <c r="E1438" s="33" t="s">
        <v>162</v>
      </c>
      <c r="F1438" s="33" t="s">
        <v>163</v>
      </c>
    </row>
    <row r="1439" spans="1:6" ht="15" thickBot="1">
      <c r="A1439" s="31">
        <v>7923287</v>
      </c>
      <c r="B1439" s="32">
        <v>3300000</v>
      </c>
      <c r="C1439" s="33" t="s">
        <v>232</v>
      </c>
      <c r="D1439" s="33" t="s">
        <v>169</v>
      </c>
      <c r="E1439" s="34" t="s">
        <v>170</v>
      </c>
      <c r="F1439" s="33" t="s">
        <v>163</v>
      </c>
    </row>
    <row r="1440" spans="1:6" ht="15" thickBot="1">
      <c r="A1440" s="31">
        <v>7924394</v>
      </c>
      <c r="B1440" s="32">
        <v>170000000</v>
      </c>
      <c r="C1440" s="33" t="s">
        <v>191</v>
      </c>
      <c r="D1440" s="33" t="s">
        <v>169</v>
      </c>
      <c r="E1440" s="34" t="s">
        <v>170</v>
      </c>
      <c r="F1440" s="33" t="s">
        <v>163</v>
      </c>
    </row>
    <row r="1441" spans="1:6" ht="29" thickBot="1">
      <c r="A1441" s="31">
        <v>7925746</v>
      </c>
      <c r="B1441" s="32">
        <v>12000000</v>
      </c>
      <c r="C1441" s="33" t="s">
        <v>270</v>
      </c>
      <c r="D1441" s="33" t="s">
        <v>165</v>
      </c>
      <c r="E1441" s="33" t="s">
        <v>166</v>
      </c>
      <c r="F1441" s="33" t="s">
        <v>163</v>
      </c>
    </row>
    <row r="1442" spans="1:6" ht="15" thickBot="1">
      <c r="A1442" s="31">
        <v>7927332</v>
      </c>
      <c r="B1442" s="32">
        <v>6850000</v>
      </c>
      <c r="C1442" s="33" t="s">
        <v>187</v>
      </c>
      <c r="D1442" s="33" t="s">
        <v>161</v>
      </c>
      <c r="E1442" s="33" t="s">
        <v>162</v>
      </c>
      <c r="F1442" s="33" t="s">
        <v>163</v>
      </c>
    </row>
    <row r="1443" spans="1:6" ht="15" thickBot="1">
      <c r="A1443" s="31">
        <v>7927860</v>
      </c>
      <c r="B1443" s="32">
        <v>9500000</v>
      </c>
      <c r="C1443" s="33" t="s">
        <v>430</v>
      </c>
      <c r="D1443" s="33" t="s">
        <v>161</v>
      </c>
      <c r="E1443" s="33" t="s">
        <v>162</v>
      </c>
      <c r="F1443" s="33" t="s">
        <v>163</v>
      </c>
    </row>
    <row r="1444" spans="1:6" ht="15" thickBot="1">
      <c r="A1444" s="31">
        <v>7930014</v>
      </c>
      <c r="B1444" s="32">
        <v>5200000</v>
      </c>
      <c r="C1444" s="33" t="s">
        <v>196</v>
      </c>
      <c r="D1444" s="33" t="s">
        <v>161</v>
      </c>
      <c r="E1444" s="33" t="s">
        <v>162</v>
      </c>
      <c r="F1444" s="33" t="s">
        <v>163</v>
      </c>
    </row>
    <row r="1445" spans="1:6" ht="15" thickBot="1">
      <c r="A1445" s="31">
        <v>7930534</v>
      </c>
      <c r="B1445" s="32">
        <v>27500000</v>
      </c>
      <c r="C1445" s="33" t="s">
        <v>188</v>
      </c>
      <c r="D1445" s="33" t="s">
        <v>165</v>
      </c>
      <c r="E1445" s="33" t="s">
        <v>166</v>
      </c>
      <c r="F1445" s="33" t="s">
        <v>163</v>
      </c>
    </row>
    <row r="1446" spans="1:6" ht="15" thickBot="1">
      <c r="A1446" s="31">
        <v>7930608</v>
      </c>
      <c r="B1446" s="32">
        <v>7200000</v>
      </c>
      <c r="C1446" s="33" t="s">
        <v>431</v>
      </c>
      <c r="D1446" s="33" t="s">
        <v>174</v>
      </c>
      <c r="E1446" s="33" t="s">
        <v>166</v>
      </c>
      <c r="F1446" s="33" t="s">
        <v>163</v>
      </c>
    </row>
    <row r="1447" spans="1:6" ht="15" thickBot="1">
      <c r="A1447" s="31">
        <v>7930631</v>
      </c>
      <c r="B1447" s="32">
        <v>6000000</v>
      </c>
      <c r="C1447" s="33" t="s">
        <v>187</v>
      </c>
      <c r="D1447" s="33" t="s">
        <v>161</v>
      </c>
      <c r="E1447" s="33" t="s">
        <v>162</v>
      </c>
      <c r="F1447" s="33" t="s">
        <v>163</v>
      </c>
    </row>
    <row r="1448" spans="1:6" ht="15" thickBot="1">
      <c r="A1448" s="31">
        <v>7930685</v>
      </c>
      <c r="B1448" s="32">
        <v>37500000</v>
      </c>
      <c r="C1448" s="33" t="s">
        <v>177</v>
      </c>
      <c r="D1448" s="33" t="s">
        <v>174</v>
      </c>
      <c r="E1448" s="33" t="s">
        <v>166</v>
      </c>
      <c r="F1448" s="33" t="s">
        <v>163</v>
      </c>
    </row>
    <row r="1449" spans="1:6" ht="29" thickBot="1">
      <c r="A1449" s="31">
        <v>7930779</v>
      </c>
      <c r="B1449" s="32">
        <v>4000000</v>
      </c>
      <c r="C1449" s="33" t="s">
        <v>432</v>
      </c>
      <c r="D1449" s="33" t="s">
        <v>174</v>
      </c>
      <c r="E1449" s="33" t="s">
        <v>166</v>
      </c>
      <c r="F1449" s="33" t="s">
        <v>163</v>
      </c>
    </row>
    <row r="1450" spans="1:6" ht="29" thickBot="1">
      <c r="A1450" s="31">
        <v>7930918</v>
      </c>
      <c r="B1450" s="32">
        <v>5000000</v>
      </c>
      <c r="C1450" s="33" t="s">
        <v>433</v>
      </c>
      <c r="D1450" s="33" t="s">
        <v>174</v>
      </c>
      <c r="E1450" s="33" t="s">
        <v>166</v>
      </c>
      <c r="F1450" s="33" t="s">
        <v>163</v>
      </c>
    </row>
    <row r="1451" spans="1:6" ht="15" thickBot="1">
      <c r="A1451" s="31">
        <v>7931287</v>
      </c>
      <c r="B1451" s="32">
        <v>23000</v>
      </c>
      <c r="C1451" s="33" t="s">
        <v>434</v>
      </c>
      <c r="D1451" s="33" t="s">
        <v>165</v>
      </c>
      <c r="E1451" s="33" t="s">
        <v>166</v>
      </c>
      <c r="F1451" s="33" t="s">
        <v>167</v>
      </c>
    </row>
    <row r="1452" spans="1:6" ht="15" thickBot="1">
      <c r="A1452" s="31">
        <v>7931313</v>
      </c>
      <c r="B1452" s="32">
        <v>55000</v>
      </c>
      <c r="C1452" s="33" t="s">
        <v>171</v>
      </c>
      <c r="D1452" s="33" t="s">
        <v>161</v>
      </c>
      <c r="E1452" s="33" t="s">
        <v>162</v>
      </c>
      <c r="F1452" s="33" t="s">
        <v>167</v>
      </c>
    </row>
    <row r="1453" spans="1:6" ht="15" thickBot="1">
      <c r="A1453" s="31">
        <v>7931376</v>
      </c>
      <c r="B1453" s="32">
        <v>12000000</v>
      </c>
      <c r="C1453" s="33" t="s">
        <v>435</v>
      </c>
      <c r="D1453" s="33" t="s">
        <v>174</v>
      </c>
      <c r="E1453" s="33" t="s">
        <v>166</v>
      </c>
      <c r="F1453" s="33" t="s">
        <v>163</v>
      </c>
    </row>
    <row r="1454" spans="1:6" ht="29" thickBot="1">
      <c r="A1454" s="31">
        <v>7931393</v>
      </c>
      <c r="B1454" s="32">
        <v>8500000</v>
      </c>
      <c r="C1454" s="33" t="s">
        <v>436</v>
      </c>
      <c r="D1454" s="33" t="s">
        <v>165</v>
      </c>
      <c r="E1454" s="33" t="s">
        <v>166</v>
      </c>
      <c r="F1454" s="33" t="s">
        <v>163</v>
      </c>
    </row>
    <row r="1455" spans="1:6" ht="15" thickBot="1">
      <c r="A1455" s="31">
        <v>7931760</v>
      </c>
      <c r="B1455" s="32">
        <v>12500000</v>
      </c>
      <c r="C1455" s="33" t="s">
        <v>352</v>
      </c>
      <c r="D1455" s="33" t="s">
        <v>174</v>
      </c>
      <c r="E1455" s="33" t="s">
        <v>166</v>
      </c>
      <c r="F1455" s="33" t="s">
        <v>163</v>
      </c>
    </row>
    <row r="1456" spans="1:6" ht="15" thickBot="1">
      <c r="A1456" s="31">
        <v>7932349</v>
      </c>
      <c r="B1456" s="32">
        <v>12000</v>
      </c>
      <c r="C1456" s="33" t="s">
        <v>171</v>
      </c>
      <c r="D1456" s="33" t="s">
        <v>161</v>
      </c>
      <c r="E1456" s="33" t="s">
        <v>162</v>
      </c>
      <c r="F1456" s="33" t="s">
        <v>167</v>
      </c>
    </row>
    <row r="1457" spans="1:6" ht="15" thickBot="1">
      <c r="A1457" s="31">
        <v>7936962</v>
      </c>
      <c r="B1457" s="32">
        <v>9200000</v>
      </c>
      <c r="C1457" s="33" t="s">
        <v>196</v>
      </c>
      <c r="D1457" s="33" t="s">
        <v>161</v>
      </c>
      <c r="E1457" s="33" t="s">
        <v>162</v>
      </c>
      <c r="F1457" s="33" t="s">
        <v>163</v>
      </c>
    </row>
    <row r="1458" spans="1:6" ht="15" thickBot="1">
      <c r="A1458" s="31">
        <v>7938481</v>
      </c>
      <c r="B1458" s="32">
        <v>22000000</v>
      </c>
      <c r="C1458" s="33" t="s">
        <v>177</v>
      </c>
      <c r="D1458" s="33" t="s">
        <v>174</v>
      </c>
      <c r="E1458" s="33" t="s">
        <v>166</v>
      </c>
      <c r="F1458" s="33" t="s">
        <v>163</v>
      </c>
    </row>
    <row r="1459" spans="1:6" ht="15" thickBot="1">
      <c r="A1459" s="31">
        <v>7939462</v>
      </c>
      <c r="B1459" s="32">
        <v>16000000</v>
      </c>
      <c r="C1459" s="33" t="s">
        <v>160</v>
      </c>
      <c r="D1459" s="33" t="s">
        <v>174</v>
      </c>
      <c r="E1459" s="33" t="s">
        <v>166</v>
      </c>
      <c r="F1459" s="33" t="s">
        <v>163</v>
      </c>
    </row>
    <row r="1460" spans="1:6" ht="15" thickBot="1">
      <c r="A1460" s="31">
        <v>7941189</v>
      </c>
      <c r="B1460" s="32">
        <v>190000</v>
      </c>
      <c r="C1460" s="33" t="s">
        <v>198</v>
      </c>
      <c r="D1460" s="33" t="s">
        <v>169</v>
      </c>
      <c r="E1460" s="34" t="s">
        <v>170</v>
      </c>
      <c r="F1460" s="33" t="s">
        <v>167</v>
      </c>
    </row>
    <row r="1461" spans="1:6" ht="15" thickBot="1">
      <c r="A1461" s="31">
        <v>7944435</v>
      </c>
      <c r="B1461" s="32">
        <v>7500000</v>
      </c>
      <c r="C1461" s="33" t="s">
        <v>196</v>
      </c>
      <c r="D1461" s="33" t="s">
        <v>161</v>
      </c>
      <c r="E1461" s="33" t="s">
        <v>162</v>
      </c>
      <c r="F1461" s="33" t="s">
        <v>163</v>
      </c>
    </row>
    <row r="1462" spans="1:6" ht="15" thickBot="1">
      <c r="A1462" s="31">
        <v>7944736</v>
      </c>
      <c r="B1462" s="32">
        <v>160000000</v>
      </c>
      <c r="C1462" s="33" t="s">
        <v>173</v>
      </c>
      <c r="D1462" s="33" t="s">
        <v>174</v>
      </c>
      <c r="E1462" s="33" t="s">
        <v>166</v>
      </c>
      <c r="F1462" s="33" t="s">
        <v>163</v>
      </c>
    </row>
    <row r="1463" spans="1:6" ht="15" thickBot="1">
      <c r="A1463" s="31">
        <v>7945024</v>
      </c>
      <c r="B1463" s="32">
        <v>13000000</v>
      </c>
      <c r="C1463" s="33" t="s">
        <v>437</v>
      </c>
      <c r="D1463" s="33" t="s">
        <v>174</v>
      </c>
      <c r="E1463" s="33" t="s">
        <v>166</v>
      </c>
      <c r="F1463" s="33" t="s">
        <v>163</v>
      </c>
    </row>
    <row r="1464" spans="1:6" ht="15" thickBot="1">
      <c r="A1464" s="31">
        <v>7946062</v>
      </c>
      <c r="B1464" s="32">
        <v>6000000</v>
      </c>
      <c r="C1464" s="33" t="s">
        <v>279</v>
      </c>
      <c r="D1464" s="33" t="s">
        <v>161</v>
      </c>
      <c r="E1464" s="33" t="s">
        <v>162</v>
      </c>
      <c r="F1464" s="33" t="s">
        <v>163</v>
      </c>
    </row>
    <row r="1465" spans="1:6" ht="15" thickBot="1">
      <c r="A1465" s="31">
        <v>7946840</v>
      </c>
      <c r="B1465" s="32">
        <v>40000000</v>
      </c>
      <c r="C1465" s="33" t="s">
        <v>187</v>
      </c>
      <c r="D1465" s="33" t="s">
        <v>161</v>
      </c>
      <c r="E1465" s="33" t="s">
        <v>162</v>
      </c>
      <c r="F1465" s="33" t="s">
        <v>163</v>
      </c>
    </row>
    <row r="1466" spans="1:6" ht="15" thickBot="1">
      <c r="A1466" s="31">
        <v>7946885</v>
      </c>
      <c r="B1466" s="32">
        <v>6800000</v>
      </c>
      <c r="C1466" s="33" t="s">
        <v>438</v>
      </c>
      <c r="D1466" s="33" t="s">
        <v>200</v>
      </c>
      <c r="E1466" s="33" t="s">
        <v>166</v>
      </c>
      <c r="F1466" s="33" t="s">
        <v>163</v>
      </c>
    </row>
    <row r="1467" spans="1:6" ht="15" thickBot="1">
      <c r="A1467" s="31">
        <v>7948016</v>
      </c>
      <c r="B1467" s="32">
        <v>2700000</v>
      </c>
      <c r="C1467" s="33" t="s">
        <v>439</v>
      </c>
      <c r="D1467" s="33" t="s">
        <v>169</v>
      </c>
      <c r="E1467" s="34" t="s">
        <v>170</v>
      </c>
      <c r="F1467" s="33" t="s">
        <v>163</v>
      </c>
    </row>
    <row r="1468" spans="1:6" ht="15" thickBot="1">
      <c r="A1468" s="31">
        <v>7948236</v>
      </c>
      <c r="B1468" s="32">
        <v>350000000</v>
      </c>
      <c r="C1468" s="33" t="s">
        <v>182</v>
      </c>
      <c r="D1468" s="33" t="s">
        <v>174</v>
      </c>
      <c r="E1468" s="33" t="s">
        <v>166</v>
      </c>
      <c r="F1468" s="33" t="s">
        <v>163</v>
      </c>
    </row>
    <row r="1469" spans="1:6" ht="29" thickBot="1">
      <c r="A1469" s="31">
        <v>7948280</v>
      </c>
      <c r="B1469" s="32">
        <v>21500000</v>
      </c>
      <c r="C1469" s="33" t="s">
        <v>301</v>
      </c>
      <c r="D1469" s="33" t="s">
        <v>174</v>
      </c>
      <c r="E1469" s="33" t="s">
        <v>166</v>
      </c>
      <c r="F1469" s="33" t="s">
        <v>163</v>
      </c>
    </row>
    <row r="1470" spans="1:6" ht="15" thickBot="1">
      <c r="A1470" s="31">
        <v>7948341</v>
      </c>
      <c r="B1470" s="32">
        <v>63000000</v>
      </c>
      <c r="C1470" s="33" t="s">
        <v>198</v>
      </c>
      <c r="D1470" s="33" t="s">
        <v>169</v>
      </c>
      <c r="E1470" s="34" t="s">
        <v>170</v>
      </c>
      <c r="F1470" s="33" t="s">
        <v>163</v>
      </c>
    </row>
    <row r="1471" spans="1:6" ht="29" thickBot="1">
      <c r="A1471" s="31">
        <v>7948765</v>
      </c>
      <c r="B1471" s="32">
        <v>13800000</v>
      </c>
      <c r="C1471" s="33" t="s">
        <v>192</v>
      </c>
      <c r="D1471" s="33" t="s">
        <v>174</v>
      </c>
      <c r="E1471" s="33" t="s">
        <v>166</v>
      </c>
      <c r="F1471" s="33" t="s">
        <v>163</v>
      </c>
    </row>
    <row r="1472" spans="1:6" ht="15" thickBot="1">
      <c r="A1472" s="31">
        <v>7948780</v>
      </c>
      <c r="B1472" s="32">
        <v>10500000</v>
      </c>
      <c r="C1472" s="33" t="s">
        <v>440</v>
      </c>
      <c r="D1472" s="33" t="s">
        <v>200</v>
      </c>
      <c r="E1472" s="33" t="s">
        <v>166</v>
      </c>
      <c r="F1472" s="33" t="s">
        <v>163</v>
      </c>
    </row>
    <row r="1473" spans="1:6" ht="15" thickBot="1">
      <c r="A1473" s="31">
        <v>7950370</v>
      </c>
      <c r="B1473" s="32">
        <v>5000000</v>
      </c>
      <c r="C1473" s="33" t="s">
        <v>353</v>
      </c>
      <c r="D1473" s="33" t="s">
        <v>174</v>
      </c>
      <c r="E1473" s="33" t="s">
        <v>166</v>
      </c>
      <c r="F1473" s="33" t="s">
        <v>163</v>
      </c>
    </row>
    <row r="1474" spans="1:6" ht="15" thickBot="1">
      <c r="A1474" s="31">
        <v>7950489</v>
      </c>
      <c r="B1474" s="32">
        <v>7500000</v>
      </c>
      <c r="C1474" s="33" t="s">
        <v>319</v>
      </c>
      <c r="D1474" s="33" t="s">
        <v>174</v>
      </c>
      <c r="E1474" s="33" t="s">
        <v>166</v>
      </c>
      <c r="F1474" s="33" t="s">
        <v>163</v>
      </c>
    </row>
    <row r="1475" spans="1:6" ht="15" thickBot="1">
      <c r="A1475" s="31">
        <v>7952405</v>
      </c>
      <c r="B1475" s="32">
        <v>18000000</v>
      </c>
      <c r="C1475" s="33" t="s">
        <v>328</v>
      </c>
      <c r="D1475" s="33" t="s">
        <v>174</v>
      </c>
      <c r="E1475" s="33" t="s">
        <v>166</v>
      </c>
      <c r="F1475" s="33" t="s">
        <v>163</v>
      </c>
    </row>
    <row r="1476" spans="1:6" ht="15" thickBot="1">
      <c r="A1476" s="31">
        <v>7952811</v>
      </c>
      <c r="B1476" s="32">
        <v>23500000</v>
      </c>
      <c r="C1476" s="33" t="s">
        <v>177</v>
      </c>
      <c r="D1476" s="33" t="s">
        <v>174</v>
      </c>
      <c r="E1476" s="33" t="s">
        <v>166</v>
      </c>
      <c r="F1476" s="33" t="s">
        <v>163</v>
      </c>
    </row>
    <row r="1477" spans="1:6" ht="15" thickBot="1">
      <c r="A1477" s="31">
        <v>7953456</v>
      </c>
      <c r="B1477" s="32">
        <v>32000</v>
      </c>
      <c r="C1477" s="33" t="s">
        <v>441</v>
      </c>
      <c r="D1477" s="33" t="s">
        <v>165</v>
      </c>
      <c r="E1477" s="33" t="s">
        <v>166</v>
      </c>
      <c r="F1477" s="33" t="s">
        <v>167</v>
      </c>
    </row>
    <row r="1478" spans="1:6" ht="15" thickBot="1">
      <c r="A1478" s="31">
        <v>7956233</v>
      </c>
      <c r="B1478" s="32">
        <v>50000000</v>
      </c>
      <c r="C1478" s="33" t="s">
        <v>177</v>
      </c>
      <c r="D1478" s="33" t="s">
        <v>174</v>
      </c>
      <c r="E1478" s="33" t="s">
        <v>166</v>
      </c>
      <c r="F1478" s="33" t="s">
        <v>163</v>
      </c>
    </row>
    <row r="1479" spans="1:6" ht="15" thickBot="1">
      <c r="A1479" s="31">
        <v>7956340</v>
      </c>
      <c r="B1479" s="32">
        <v>58000000</v>
      </c>
      <c r="C1479" s="33" t="s">
        <v>307</v>
      </c>
      <c r="D1479" s="33" t="s">
        <v>169</v>
      </c>
      <c r="E1479" s="34" t="s">
        <v>170</v>
      </c>
      <c r="F1479" s="33" t="s">
        <v>163</v>
      </c>
    </row>
    <row r="1480" spans="1:6" ht="15" thickBot="1">
      <c r="A1480" s="31">
        <v>7956934</v>
      </c>
      <c r="B1480" s="32">
        <v>9000000</v>
      </c>
      <c r="C1480" s="33" t="s">
        <v>186</v>
      </c>
      <c r="D1480" s="33" t="s">
        <v>165</v>
      </c>
      <c r="E1480" s="33" t="s">
        <v>166</v>
      </c>
      <c r="F1480" s="33" t="s">
        <v>163</v>
      </c>
    </row>
    <row r="1481" spans="1:6" ht="15" thickBot="1">
      <c r="A1481" s="31">
        <v>7957680</v>
      </c>
      <c r="B1481" s="32">
        <v>4000000</v>
      </c>
      <c r="C1481" s="33" t="s">
        <v>239</v>
      </c>
      <c r="D1481" s="33" t="s">
        <v>161</v>
      </c>
      <c r="E1481" s="33" t="s">
        <v>162</v>
      </c>
      <c r="F1481" s="33" t="s">
        <v>163</v>
      </c>
    </row>
    <row r="1482" spans="1:6" ht="15" thickBot="1">
      <c r="A1482" s="31">
        <v>7959038</v>
      </c>
      <c r="B1482" s="32">
        <v>10000000</v>
      </c>
      <c r="C1482" s="33" t="s">
        <v>171</v>
      </c>
      <c r="D1482" s="33" t="s">
        <v>161</v>
      </c>
      <c r="E1482" s="33" t="s">
        <v>162</v>
      </c>
      <c r="F1482" s="33" t="s">
        <v>163</v>
      </c>
    </row>
    <row r="1483" spans="1:6" ht="15" thickBot="1">
      <c r="A1483" s="31">
        <v>7960273</v>
      </c>
      <c r="B1483" s="32">
        <v>2100000</v>
      </c>
      <c r="C1483" s="33" t="s">
        <v>196</v>
      </c>
      <c r="D1483" s="33" t="s">
        <v>161</v>
      </c>
      <c r="E1483" s="33" t="s">
        <v>162</v>
      </c>
      <c r="F1483" s="33" t="s">
        <v>163</v>
      </c>
    </row>
    <row r="1484" spans="1:6" ht="15" thickBot="1">
      <c r="A1484" s="31">
        <v>7960499</v>
      </c>
      <c r="B1484" s="32">
        <v>44000000</v>
      </c>
      <c r="C1484" s="33" t="s">
        <v>180</v>
      </c>
      <c r="D1484" s="33" t="s">
        <v>165</v>
      </c>
      <c r="E1484" s="33" t="s">
        <v>166</v>
      </c>
      <c r="F1484" s="33" t="s">
        <v>163</v>
      </c>
    </row>
    <row r="1485" spans="1:6" ht="15" thickBot="1">
      <c r="A1485" s="31">
        <v>7960571</v>
      </c>
      <c r="B1485" s="32">
        <v>3800000</v>
      </c>
      <c r="C1485" s="33" t="s">
        <v>272</v>
      </c>
      <c r="D1485" s="33" t="s">
        <v>161</v>
      </c>
      <c r="E1485" s="33" t="s">
        <v>162</v>
      </c>
      <c r="F1485" s="33" t="s">
        <v>163</v>
      </c>
    </row>
    <row r="1486" spans="1:6" ht="15" thickBot="1">
      <c r="A1486" s="31">
        <v>7960925</v>
      </c>
      <c r="B1486" s="32">
        <v>70000</v>
      </c>
      <c r="C1486" s="33" t="s">
        <v>180</v>
      </c>
      <c r="D1486" s="33" t="s">
        <v>165</v>
      </c>
      <c r="E1486" s="33" t="s">
        <v>166</v>
      </c>
      <c r="F1486" s="33" t="s">
        <v>167</v>
      </c>
    </row>
    <row r="1487" spans="1:6" ht="15" thickBot="1">
      <c r="A1487" s="31">
        <v>7961377</v>
      </c>
      <c r="B1487" s="32">
        <v>12500000</v>
      </c>
      <c r="C1487" s="33" t="s">
        <v>193</v>
      </c>
      <c r="D1487" s="33" t="s">
        <v>169</v>
      </c>
      <c r="E1487" s="34" t="s">
        <v>170</v>
      </c>
      <c r="F1487" s="33" t="s">
        <v>163</v>
      </c>
    </row>
    <row r="1488" spans="1:6" ht="15" thickBot="1">
      <c r="A1488" s="31">
        <v>7961504</v>
      </c>
      <c r="B1488" s="32">
        <v>11500000</v>
      </c>
      <c r="C1488" s="33" t="s">
        <v>177</v>
      </c>
      <c r="D1488" s="33" t="s">
        <v>169</v>
      </c>
      <c r="E1488" s="34" t="s">
        <v>170</v>
      </c>
      <c r="F1488" s="33" t="s">
        <v>163</v>
      </c>
    </row>
    <row r="1489" spans="1:6" ht="15" thickBot="1">
      <c r="A1489" s="31">
        <v>7963805</v>
      </c>
      <c r="B1489" s="32">
        <v>17500000</v>
      </c>
      <c r="C1489" s="33" t="s">
        <v>175</v>
      </c>
      <c r="D1489" s="33" t="s">
        <v>169</v>
      </c>
      <c r="E1489" s="34" t="s">
        <v>170</v>
      </c>
      <c r="F1489" s="33" t="s">
        <v>163</v>
      </c>
    </row>
    <row r="1490" spans="1:6" ht="15" thickBot="1">
      <c r="A1490" s="31">
        <v>7963836</v>
      </c>
      <c r="B1490" s="32">
        <v>35000</v>
      </c>
      <c r="C1490" s="33" t="s">
        <v>180</v>
      </c>
      <c r="D1490" s="33" t="s">
        <v>165</v>
      </c>
      <c r="E1490" s="33" t="s">
        <v>166</v>
      </c>
      <c r="F1490" s="33" t="s">
        <v>167</v>
      </c>
    </row>
    <row r="1491" spans="1:6" ht="29" thickBot="1">
      <c r="A1491" s="31">
        <v>7964591</v>
      </c>
      <c r="B1491" s="32">
        <v>8000000</v>
      </c>
      <c r="C1491" s="33" t="s">
        <v>414</v>
      </c>
      <c r="D1491" s="33" t="s">
        <v>174</v>
      </c>
      <c r="E1491" s="33" t="s">
        <v>166</v>
      </c>
      <c r="F1491" s="33" t="s">
        <v>163</v>
      </c>
    </row>
    <row r="1492" spans="1:6" ht="15" thickBot="1">
      <c r="A1492" s="31">
        <v>7964662</v>
      </c>
      <c r="B1492" s="32">
        <v>16900000</v>
      </c>
      <c r="C1492" s="33" t="s">
        <v>168</v>
      </c>
      <c r="D1492" s="33" t="s">
        <v>169</v>
      </c>
      <c r="E1492" s="34" t="s">
        <v>170</v>
      </c>
      <c r="F1492" s="33" t="s">
        <v>163</v>
      </c>
    </row>
    <row r="1493" spans="1:6" ht="15" thickBot="1">
      <c r="A1493" s="31">
        <v>7964686</v>
      </c>
      <c r="B1493" s="32">
        <v>8000000</v>
      </c>
      <c r="C1493" s="33" t="s">
        <v>442</v>
      </c>
      <c r="D1493" s="33" t="s">
        <v>200</v>
      </c>
      <c r="E1493" s="33" t="s">
        <v>166</v>
      </c>
      <c r="F1493" s="33" t="s">
        <v>163</v>
      </c>
    </row>
    <row r="1494" spans="1:6" ht="15" thickBot="1">
      <c r="A1494" s="31">
        <v>7964794</v>
      </c>
      <c r="B1494" s="32">
        <v>20000</v>
      </c>
      <c r="C1494" s="33" t="s">
        <v>211</v>
      </c>
      <c r="D1494" s="33" t="s">
        <v>161</v>
      </c>
      <c r="E1494" s="33" t="s">
        <v>162</v>
      </c>
      <c r="F1494" s="33" t="s">
        <v>167</v>
      </c>
    </row>
    <row r="1495" spans="1:6" ht="15" thickBot="1">
      <c r="A1495" s="31">
        <v>7964891</v>
      </c>
      <c r="B1495" s="32">
        <v>32000</v>
      </c>
      <c r="C1495" s="33" t="s">
        <v>211</v>
      </c>
      <c r="D1495" s="33" t="s">
        <v>161</v>
      </c>
      <c r="E1495" s="33" t="s">
        <v>162</v>
      </c>
      <c r="F1495" s="33" t="s">
        <v>167</v>
      </c>
    </row>
    <row r="1496" spans="1:6" ht="15" thickBot="1">
      <c r="A1496" s="31">
        <v>7964892</v>
      </c>
      <c r="B1496" s="32">
        <v>32000</v>
      </c>
      <c r="C1496" s="33" t="s">
        <v>211</v>
      </c>
      <c r="D1496" s="33" t="s">
        <v>161</v>
      </c>
      <c r="E1496" s="33" t="s">
        <v>162</v>
      </c>
      <c r="F1496" s="33" t="s">
        <v>167</v>
      </c>
    </row>
    <row r="1497" spans="1:6" ht="15" thickBot="1">
      <c r="A1497" s="31">
        <v>7964935</v>
      </c>
      <c r="B1497" s="32">
        <v>6000000</v>
      </c>
      <c r="C1497" s="33" t="s">
        <v>279</v>
      </c>
      <c r="D1497" s="33" t="s">
        <v>161</v>
      </c>
      <c r="E1497" s="33" t="s">
        <v>162</v>
      </c>
      <c r="F1497" s="33" t="s">
        <v>163</v>
      </c>
    </row>
    <row r="1498" spans="1:6" ht="15" thickBot="1">
      <c r="A1498" s="31">
        <v>7964948</v>
      </c>
      <c r="B1498" s="32">
        <v>13000000</v>
      </c>
      <c r="C1498" s="33" t="s">
        <v>180</v>
      </c>
      <c r="D1498" s="33" t="s">
        <v>165</v>
      </c>
      <c r="E1498" s="33" t="s">
        <v>166</v>
      </c>
      <c r="F1498" s="33" t="s">
        <v>163</v>
      </c>
    </row>
    <row r="1499" spans="1:6" ht="15" thickBot="1">
      <c r="A1499" s="31">
        <v>7965464</v>
      </c>
      <c r="B1499" s="32">
        <v>2700000</v>
      </c>
      <c r="C1499" s="33" t="s">
        <v>300</v>
      </c>
      <c r="D1499" s="33" t="s">
        <v>161</v>
      </c>
      <c r="E1499" s="33" t="s">
        <v>162</v>
      </c>
      <c r="F1499" s="33" t="s">
        <v>163</v>
      </c>
    </row>
    <row r="1500" spans="1:6" ht="15" thickBot="1">
      <c r="A1500" s="31">
        <v>7965658</v>
      </c>
      <c r="B1500" s="32">
        <v>6000000</v>
      </c>
      <c r="C1500" s="33" t="s">
        <v>319</v>
      </c>
      <c r="D1500" s="33" t="s">
        <v>165</v>
      </c>
      <c r="E1500" s="33" t="s">
        <v>166</v>
      </c>
      <c r="F1500" s="33" t="s">
        <v>163</v>
      </c>
    </row>
    <row r="1501" spans="1:6" ht="15" thickBot="1">
      <c r="A1501" s="31">
        <v>7966588</v>
      </c>
      <c r="B1501" s="32">
        <v>11000000</v>
      </c>
      <c r="C1501" s="33" t="s">
        <v>443</v>
      </c>
      <c r="D1501" s="33" t="s">
        <v>165</v>
      </c>
      <c r="E1501" s="33" t="s">
        <v>166</v>
      </c>
      <c r="F1501" s="33" t="s">
        <v>163</v>
      </c>
    </row>
    <row r="1502" spans="1:6" ht="15" thickBot="1">
      <c r="A1502" s="31">
        <v>7968118</v>
      </c>
      <c r="B1502" s="32">
        <v>6500000</v>
      </c>
      <c r="C1502" s="33" t="s">
        <v>444</v>
      </c>
      <c r="D1502" s="33" t="s">
        <v>200</v>
      </c>
      <c r="E1502" s="33" t="s">
        <v>166</v>
      </c>
      <c r="F1502" s="33" t="s">
        <v>163</v>
      </c>
    </row>
    <row r="1503" spans="1:6" ht="15" thickBot="1">
      <c r="A1503" s="31">
        <v>7971698</v>
      </c>
      <c r="B1503" s="32">
        <v>2000000</v>
      </c>
      <c r="C1503" s="33" t="s">
        <v>205</v>
      </c>
      <c r="D1503" s="33" t="s">
        <v>161</v>
      </c>
      <c r="E1503" s="33" t="s">
        <v>162</v>
      </c>
      <c r="F1503" s="33" t="s">
        <v>163</v>
      </c>
    </row>
    <row r="1504" spans="1:6" ht="15" thickBot="1">
      <c r="A1504" s="31">
        <v>7974267</v>
      </c>
      <c r="B1504" s="32">
        <v>10000000</v>
      </c>
      <c r="C1504" s="33" t="s">
        <v>445</v>
      </c>
      <c r="D1504" s="33" t="s">
        <v>174</v>
      </c>
      <c r="E1504" s="33" t="s">
        <v>166</v>
      </c>
      <c r="F1504" s="33" t="s">
        <v>163</v>
      </c>
    </row>
    <row r="1505" spans="1:6" ht="15" thickBot="1">
      <c r="A1505" s="31">
        <v>7974502</v>
      </c>
      <c r="B1505" s="32">
        <v>9150000</v>
      </c>
      <c r="C1505" s="33" t="s">
        <v>446</v>
      </c>
      <c r="D1505" s="33" t="s">
        <v>174</v>
      </c>
      <c r="E1505" s="33" t="s">
        <v>166</v>
      </c>
      <c r="F1505" s="33" t="s">
        <v>163</v>
      </c>
    </row>
    <row r="1506" spans="1:6" ht="15" thickBot="1">
      <c r="A1506" s="31">
        <v>7975426</v>
      </c>
      <c r="B1506" s="32">
        <v>12000000</v>
      </c>
      <c r="C1506" s="33" t="s">
        <v>180</v>
      </c>
      <c r="D1506" s="33" t="s">
        <v>165</v>
      </c>
      <c r="E1506" s="33" t="s">
        <v>166</v>
      </c>
      <c r="F1506" s="33" t="s">
        <v>163</v>
      </c>
    </row>
    <row r="1507" spans="1:6" ht="29" thickBot="1">
      <c r="A1507" s="31">
        <v>7975475</v>
      </c>
      <c r="B1507" s="32">
        <v>7500000</v>
      </c>
      <c r="C1507" s="33" t="s">
        <v>288</v>
      </c>
      <c r="D1507" s="33" t="s">
        <v>174</v>
      </c>
      <c r="E1507" s="33" t="s">
        <v>166</v>
      </c>
      <c r="F1507" s="33" t="s">
        <v>163</v>
      </c>
    </row>
    <row r="1508" spans="1:6" ht="15" thickBot="1">
      <c r="A1508" s="31">
        <v>7978282</v>
      </c>
      <c r="B1508" s="32">
        <v>60000000</v>
      </c>
      <c r="C1508" s="33" t="s">
        <v>380</v>
      </c>
      <c r="D1508" s="33" t="s">
        <v>174</v>
      </c>
      <c r="E1508" s="33" t="s">
        <v>166</v>
      </c>
      <c r="F1508" s="33" t="s">
        <v>163</v>
      </c>
    </row>
    <row r="1509" spans="1:6" ht="15" thickBot="1">
      <c r="A1509" s="31">
        <v>7980759</v>
      </c>
      <c r="B1509" s="32">
        <v>11000000</v>
      </c>
      <c r="C1509" s="33" t="s">
        <v>416</v>
      </c>
      <c r="D1509" s="33" t="s">
        <v>165</v>
      </c>
      <c r="E1509" s="33" t="s">
        <v>166</v>
      </c>
      <c r="F1509" s="33" t="s">
        <v>163</v>
      </c>
    </row>
    <row r="1510" spans="1:6" ht="15" thickBot="1">
      <c r="A1510" s="31">
        <v>7980819</v>
      </c>
      <c r="B1510" s="32">
        <v>22000000</v>
      </c>
      <c r="C1510" s="33" t="s">
        <v>177</v>
      </c>
      <c r="D1510" s="33" t="s">
        <v>169</v>
      </c>
      <c r="E1510" s="34" t="s">
        <v>170</v>
      </c>
      <c r="F1510" s="33" t="s">
        <v>163</v>
      </c>
    </row>
    <row r="1511" spans="1:6" ht="15" thickBot="1">
      <c r="A1511" s="31">
        <v>7980871</v>
      </c>
      <c r="B1511" s="32">
        <v>21900000</v>
      </c>
      <c r="C1511" s="33" t="s">
        <v>177</v>
      </c>
      <c r="D1511" s="33" t="s">
        <v>169</v>
      </c>
      <c r="E1511" s="34" t="s">
        <v>170</v>
      </c>
      <c r="F1511" s="33" t="s">
        <v>163</v>
      </c>
    </row>
    <row r="1512" spans="1:6" ht="15" thickBot="1">
      <c r="A1512" s="31">
        <v>7980908</v>
      </c>
      <c r="B1512" s="32">
        <v>22000000</v>
      </c>
      <c r="C1512" s="33" t="s">
        <v>177</v>
      </c>
      <c r="D1512" s="33" t="s">
        <v>169</v>
      </c>
      <c r="E1512" s="34" t="s">
        <v>170</v>
      </c>
      <c r="F1512" s="33" t="s">
        <v>163</v>
      </c>
    </row>
    <row r="1513" spans="1:6" ht="15" thickBot="1">
      <c r="A1513" s="31">
        <v>7981132</v>
      </c>
      <c r="B1513" s="32">
        <v>23000</v>
      </c>
      <c r="C1513" s="33" t="s">
        <v>235</v>
      </c>
      <c r="D1513" s="33" t="s">
        <v>161</v>
      </c>
      <c r="E1513" s="33" t="s">
        <v>162</v>
      </c>
      <c r="F1513" s="33" t="s">
        <v>167</v>
      </c>
    </row>
    <row r="1514" spans="1:6" ht="15" thickBot="1">
      <c r="A1514" s="31">
        <v>7981169</v>
      </c>
      <c r="B1514" s="32">
        <v>7800000</v>
      </c>
      <c r="C1514" s="33" t="s">
        <v>182</v>
      </c>
      <c r="D1514" s="33" t="s">
        <v>169</v>
      </c>
      <c r="E1514" s="34" t="s">
        <v>170</v>
      </c>
      <c r="F1514" s="33" t="s">
        <v>163</v>
      </c>
    </row>
    <row r="1515" spans="1:6" ht="15" thickBot="1">
      <c r="A1515" s="31">
        <v>7985365</v>
      </c>
      <c r="B1515" s="32">
        <v>3900000</v>
      </c>
      <c r="C1515" s="33" t="s">
        <v>264</v>
      </c>
      <c r="D1515" s="33" t="s">
        <v>169</v>
      </c>
      <c r="E1515" s="34" t="s">
        <v>170</v>
      </c>
      <c r="F1515" s="33" t="s">
        <v>163</v>
      </c>
    </row>
    <row r="1516" spans="1:6" ht="15" thickBot="1">
      <c r="A1516" s="31">
        <v>7985660</v>
      </c>
      <c r="B1516" s="32">
        <v>2500000</v>
      </c>
      <c r="C1516" s="33" t="s">
        <v>181</v>
      </c>
      <c r="D1516" s="33" t="s">
        <v>174</v>
      </c>
      <c r="E1516" s="33" t="s">
        <v>166</v>
      </c>
      <c r="F1516" s="33" t="s">
        <v>163</v>
      </c>
    </row>
    <row r="1517" spans="1:6" ht="15" thickBot="1">
      <c r="A1517" s="31">
        <v>7986993</v>
      </c>
      <c r="B1517" s="32">
        <v>20000</v>
      </c>
      <c r="C1517" s="33" t="s">
        <v>447</v>
      </c>
      <c r="D1517" s="33" t="s">
        <v>165</v>
      </c>
      <c r="E1517" s="33" t="s">
        <v>166</v>
      </c>
      <c r="F1517" s="33" t="s">
        <v>167</v>
      </c>
    </row>
    <row r="1518" spans="1:6" ht="15" thickBot="1">
      <c r="A1518" s="31">
        <v>7987111</v>
      </c>
      <c r="B1518" s="32">
        <v>12000000</v>
      </c>
      <c r="C1518" s="33" t="s">
        <v>160</v>
      </c>
      <c r="D1518" s="33" t="s">
        <v>174</v>
      </c>
      <c r="E1518" s="33" t="s">
        <v>166</v>
      </c>
      <c r="F1518" s="33" t="s">
        <v>163</v>
      </c>
    </row>
    <row r="1519" spans="1:6" ht="15" thickBot="1">
      <c r="A1519" s="31">
        <v>7987882</v>
      </c>
      <c r="B1519" s="32">
        <v>18000</v>
      </c>
      <c r="C1519" s="33" t="s">
        <v>448</v>
      </c>
      <c r="D1519" s="33" t="s">
        <v>161</v>
      </c>
      <c r="E1519" s="33" t="s">
        <v>162</v>
      </c>
      <c r="F1519" s="33" t="s">
        <v>167</v>
      </c>
    </row>
    <row r="1520" spans="1:6" ht="15" thickBot="1">
      <c r="A1520" s="31">
        <v>7988966</v>
      </c>
      <c r="B1520" s="32">
        <v>52500000</v>
      </c>
      <c r="C1520" s="33" t="s">
        <v>177</v>
      </c>
      <c r="D1520" s="33" t="s">
        <v>174</v>
      </c>
      <c r="E1520" s="33" t="s">
        <v>166</v>
      </c>
      <c r="F1520" s="33" t="s">
        <v>163</v>
      </c>
    </row>
    <row r="1521" spans="1:6" ht="15" thickBot="1">
      <c r="A1521" s="31">
        <v>7989574</v>
      </c>
      <c r="B1521" s="32">
        <v>10000</v>
      </c>
      <c r="C1521" s="33" t="s">
        <v>449</v>
      </c>
      <c r="D1521" s="33" t="s">
        <v>200</v>
      </c>
      <c r="E1521" s="33" t="s">
        <v>166</v>
      </c>
      <c r="F1521" s="33" t="s">
        <v>167</v>
      </c>
    </row>
    <row r="1522" spans="1:6" ht="15" thickBot="1">
      <c r="A1522" s="31">
        <v>7990614</v>
      </c>
      <c r="B1522" s="32">
        <v>10000000</v>
      </c>
      <c r="C1522" s="33" t="s">
        <v>450</v>
      </c>
      <c r="D1522" s="33" t="s">
        <v>174</v>
      </c>
      <c r="E1522" s="33" t="s">
        <v>166</v>
      </c>
      <c r="F1522" s="33" t="s">
        <v>163</v>
      </c>
    </row>
    <row r="1523" spans="1:6" ht="15" thickBot="1">
      <c r="A1523" s="31">
        <v>7990643</v>
      </c>
      <c r="B1523" s="32">
        <v>3000000</v>
      </c>
      <c r="C1523" s="33" t="s">
        <v>210</v>
      </c>
      <c r="D1523" s="33" t="s">
        <v>169</v>
      </c>
      <c r="E1523" s="34" t="s">
        <v>170</v>
      </c>
      <c r="F1523" s="33" t="s">
        <v>163</v>
      </c>
    </row>
    <row r="1524" spans="1:6" ht="15" thickBot="1">
      <c r="A1524" s="31">
        <v>7991027</v>
      </c>
      <c r="B1524" s="32">
        <v>4700000</v>
      </c>
      <c r="C1524" s="33" t="s">
        <v>379</v>
      </c>
      <c r="D1524" s="33" t="s">
        <v>174</v>
      </c>
      <c r="E1524" s="33" t="s">
        <v>166</v>
      </c>
      <c r="F1524" s="33" t="s">
        <v>163</v>
      </c>
    </row>
    <row r="1525" spans="1:6" ht="15" thickBot="1">
      <c r="A1525" s="31">
        <v>7991140</v>
      </c>
      <c r="B1525" s="32">
        <v>7200000</v>
      </c>
      <c r="C1525" s="33" t="s">
        <v>451</v>
      </c>
      <c r="D1525" s="33" t="s">
        <v>200</v>
      </c>
      <c r="E1525" s="33" t="s">
        <v>166</v>
      </c>
      <c r="F1525" s="33" t="s">
        <v>163</v>
      </c>
    </row>
    <row r="1526" spans="1:6" ht="15" thickBot="1">
      <c r="A1526" s="31">
        <v>7991379</v>
      </c>
      <c r="B1526" s="32">
        <v>5200000</v>
      </c>
      <c r="C1526" s="33" t="s">
        <v>190</v>
      </c>
      <c r="D1526" s="33" t="s">
        <v>169</v>
      </c>
      <c r="E1526" s="34" t="s">
        <v>170</v>
      </c>
      <c r="F1526" s="33" t="s">
        <v>163</v>
      </c>
    </row>
    <row r="1527" spans="1:6" ht="15" thickBot="1">
      <c r="A1527" s="31">
        <v>7991414</v>
      </c>
      <c r="B1527" s="32">
        <v>14000000</v>
      </c>
      <c r="C1527" s="33" t="s">
        <v>257</v>
      </c>
      <c r="D1527" s="33" t="s">
        <v>169</v>
      </c>
      <c r="E1527" s="34" t="s">
        <v>170</v>
      </c>
      <c r="F1527" s="33" t="s">
        <v>163</v>
      </c>
    </row>
    <row r="1528" spans="1:6" ht="15" thickBot="1">
      <c r="A1528" s="31">
        <v>7991478</v>
      </c>
      <c r="B1528" s="32">
        <v>5200000</v>
      </c>
      <c r="C1528" s="33" t="s">
        <v>452</v>
      </c>
      <c r="D1528" s="33" t="s">
        <v>174</v>
      </c>
      <c r="E1528" s="33" t="s">
        <v>166</v>
      </c>
      <c r="F1528" s="33" t="s">
        <v>163</v>
      </c>
    </row>
    <row r="1529" spans="1:6" ht="15" thickBot="1">
      <c r="A1529" s="31">
        <v>7991539</v>
      </c>
      <c r="B1529" s="32">
        <v>30000000</v>
      </c>
      <c r="C1529" s="33" t="s">
        <v>160</v>
      </c>
      <c r="D1529" s="33" t="s">
        <v>161</v>
      </c>
      <c r="E1529" s="33" t="s">
        <v>162</v>
      </c>
      <c r="F1529" s="33" t="s">
        <v>163</v>
      </c>
    </row>
    <row r="1530" spans="1:6" ht="15" thickBot="1">
      <c r="A1530" s="31">
        <v>7992620</v>
      </c>
      <c r="B1530" s="32">
        <v>32000</v>
      </c>
      <c r="C1530" s="33" t="s">
        <v>263</v>
      </c>
      <c r="D1530" s="33" t="s">
        <v>161</v>
      </c>
      <c r="E1530" s="33" t="s">
        <v>162</v>
      </c>
      <c r="F1530" s="33" t="s">
        <v>167</v>
      </c>
    </row>
    <row r="1531" spans="1:6" ht="15" thickBot="1">
      <c r="A1531" s="31">
        <v>7992649</v>
      </c>
      <c r="B1531" s="32">
        <v>60000</v>
      </c>
      <c r="C1531" s="33" t="s">
        <v>293</v>
      </c>
      <c r="D1531" s="33" t="s">
        <v>161</v>
      </c>
      <c r="E1531" s="33" t="s">
        <v>162</v>
      </c>
      <c r="F1531" s="33" t="s">
        <v>167</v>
      </c>
    </row>
    <row r="1532" spans="1:6" ht="15" thickBot="1">
      <c r="A1532" s="31">
        <v>7992745</v>
      </c>
      <c r="B1532" s="32">
        <v>450000</v>
      </c>
      <c r="C1532" s="33" t="s">
        <v>238</v>
      </c>
      <c r="D1532" s="33" t="s">
        <v>161</v>
      </c>
      <c r="E1532" s="33" t="s">
        <v>162</v>
      </c>
      <c r="F1532" s="33" t="s">
        <v>167</v>
      </c>
    </row>
    <row r="1533" spans="1:6" ht="15" thickBot="1">
      <c r="A1533" s="31">
        <v>7993545</v>
      </c>
      <c r="B1533" s="32">
        <v>12000</v>
      </c>
      <c r="C1533" s="33" t="s">
        <v>190</v>
      </c>
      <c r="D1533" s="33" t="s">
        <v>165</v>
      </c>
      <c r="E1533" s="33" t="s">
        <v>166</v>
      </c>
      <c r="F1533" s="33" t="s">
        <v>167</v>
      </c>
    </row>
    <row r="1534" spans="1:6" ht="15" thickBot="1">
      <c r="A1534" s="31">
        <v>7994273</v>
      </c>
      <c r="B1534" s="32">
        <v>19500000</v>
      </c>
      <c r="C1534" s="33" t="s">
        <v>380</v>
      </c>
      <c r="D1534" s="33" t="s">
        <v>174</v>
      </c>
      <c r="E1534" s="33" t="s">
        <v>166</v>
      </c>
      <c r="F1534" s="33" t="s">
        <v>163</v>
      </c>
    </row>
    <row r="1535" spans="1:6" ht="15" thickBot="1">
      <c r="A1535" s="31">
        <v>7994489</v>
      </c>
      <c r="B1535" s="32">
        <v>3500000</v>
      </c>
      <c r="C1535" s="33" t="s">
        <v>190</v>
      </c>
      <c r="D1535" s="33" t="s">
        <v>169</v>
      </c>
      <c r="E1535" s="34" t="s">
        <v>170</v>
      </c>
      <c r="F1535" s="33" t="s">
        <v>163</v>
      </c>
    </row>
    <row r="1536" spans="1:6" ht="15" thickBot="1">
      <c r="A1536" s="31">
        <v>7994591</v>
      </c>
      <c r="B1536" s="32">
        <v>21800000</v>
      </c>
      <c r="C1536" s="33" t="s">
        <v>206</v>
      </c>
      <c r="D1536" s="33" t="s">
        <v>174</v>
      </c>
      <c r="E1536" s="33" t="s">
        <v>166</v>
      </c>
      <c r="F1536" s="33" t="s">
        <v>163</v>
      </c>
    </row>
    <row r="1537" spans="1:6" ht="15" thickBot="1">
      <c r="A1537" s="31">
        <v>7994786</v>
      </c>
      <c r="B1537" s="32">
        <v>15000000</v>
      </c>
      <c r="C1537" s="33" t="s">
        <v>269</v>
      </c>
      <c r="D1537" s="33" t="s">
        <v>174</v>
      </c>
      <c r="E1537" s="33" t="s">
        <v>166</v>
      </c>
      <c r="F1537" s="33" t="s">
        <v>163</v>
      </c>
    </row>
    <row r="1538" spans="1:6" ht="15" thickBot="1">
      <c r="A1538" s="31">
        <v>7994909</v>
      </c>
      <c r="B1538" s="32">
        <v>62000</v>
      </c>
      <c r="C1538" s="33" t="s">
        <v>279</v>
      </c>
      <c r="D1538" s="33" t="s">
        <v>161</v>
      </c>
      <c r="E1538" s="33" t="s">
        <v>162</v>
      </c>
      <c r="F1538" s="33" t="s">
        <v>167</v>
      </c>
    </row>
    <row r="1539" spans="1:6" ht="15" thickBot="1">
      <c r="A1539" s="31">
        <v>7995142</v>
      </c>
      <c r="B1539" s="32">
        <v>14500000</v>
      </c>
      <c r="C1539" s="33" t="s">
        <v>180</v>
      </c>
      <c r="D1539" s="33" t="s">
        <v>165</v>
      </c>
      <c r="E1539" s="33" t="s">
        <v>166</v>
      </c>
      <c r="F1539" s="33" t="s">
        <v>163</v>
      </c>
    </row>
    <row r="1540" spans="1:6" ht="15" thickBot="1">
      <c r="A1540" s="31">
        <v>7995323</v>
      </c>
      <c r="B1540" s="32">
        <v>6500000</v>
      </c>
      <c r="C1540" s="33" t="s">
        <v>205</v>
      </c>
      <c r="D1540" s="33" t="s">
        <v>161</v>
      </c>
      <c r="E1540" s="33" t="s">
        <v>162</v>
      </c>
      <c r="F1540" s="33" t="s">
        <v>163</v>
      </c>
    </row>
    <row r="1541" spans="1:6" ht="15" thickBot="1">
      <c r="A1541" s="31">
        <v>7995329</v>
      </c>
      <c r="B1541" s="32">
        <v>23000</v>
      </c>
      <c r="C1541" s="33" t="s">
        <v>235</v>
      </c>
      <c r="D1541" s="33" t="s">
        <v>161</v>
      </c>
      <c r="E1541" s="33" t="s">
        <v>162</v>
      </c>
      <c r="F1541" s="33" t="s">
        <v>167</v>
      </c>
    </row>
    <row r="1542" spans="1:6" ht="15" thickBot="1">
      <c r="A1542" s="31">
        <v>7995419</v>
      </c>
      <c r="B1542" s="32">
        <v>35000</v>
      </c>
      <c r="C1542" s="33" t="s">
        <v>205</v>
      </c>
      <c r="D1542" s="33" t="s">
        <v>161</v>
      </c>
      <c r="E1542" s="33" t="s">
        <v>162</v>
      </c>
      <c r="F1542" s="33" t="s">
        <v>167</v>
      </c>
    </row>
    <row r="1543" spans="1:6" ht="15" thickBot="1">
      <c r="A1543" s="31">
        <v>7996273</v>
      </c>
      <c r="B1543" s="32">
        <v>22000</v>
      </c>
      <c r="C1543" s="33" t="s">
        <v>171</v>
      </c>
      <c r="D1543" s="33" t="s">
        <v>161</v>
      </c>
      <c r="E1543" s="33" t="s">
        <v>162</v>
      </c>
      <c r="F1543" s="33" t="s">
        <v>167</v>
      </c>
    </row>
    <row r="1544" spans="1:6" ht="15" thickBot="1">
      <c r="A1544" s="31">
        <v>7996316</v>
      </c>
      <c r="B1544" s="32">
        <v>17000</v>
      </c>
      <c r="C1544" s="33" t="s">
        <v>171</v>
      </c>
      <c r="D1544" s="33" t="s">
        <v>161</v>
      </c>
      <c r="E1544" s="33" t="s">
        <v>162</v>
      </c>
      <c r="F1544" s="33" t="s">
        <v>167</v>
      </c>
    </row>
    <row r="1545" spans="1:6" ht="15" thickBot="1">
      <c r="A1545" s="31">
        <v>7996319</v>
      </c>
      <c r="B1545" s="32">
        <v>5500000</v>
      </c>
      <c r="C1545" s="33" t="s">
        <v>453</v>
      </c>
      <c r="D1545" s="33" t="s">
        <v>174</v>
      </c>
      <c r="E1545" s="33" t="s">
        <v>166</v>
      </c>
      <c r="F1545" s="33" t="s">
        <v>163</v>
      </c>
    </row>
    <row r="1546" spans="1:6" ht="15" thickBot="1">
      <c r="A1546" s="31">
        <v>7996367</v>
      </c>
      <c r="B1546" s="32">
        <v>15000</v>
      </c>
      <c r="C1546" s="33" t="s">
        <v>171</v>
      </c>
      <c r="D1546" s="33" t="s">
        <v>161</v>
      </c>
      <c r="E1546" s="33" t="s">
        <v>162</v>
      </c>
      <c r="F1546" s="33" t="s">
        <v>167</v>
      </c>
    </row>
    <row r="1547" spans="1:6" ht="15" thickBot="1">
      <c r="A1547" s="31">
        <v>7996507</v>
      </c>
      <c r="B1547" s="32">
        <v>7500000</v>
      </c>
      <c r="C1547" s="33" t="s">
        <v>298</v>
      </c>
      <c r="D1547" s="33" t="s">
        <v>174</v>
      </c>
      <c r="E1547" s="33" t="s">
        <v>166</v>
      </c>
      <c r="F1547" s="33" t="s">
        <v>163</v>
      </c>
    </row>
    <row r="1548" spans="1:6" ht="15" thickBot="1">
      <c r="A1548" s="31">
        <v>7996576</v>
      </c>
      <c r="B1548" s="32">
        <v>3800000</v>
      </c>
      <c r="C1548" s="33" t="s">
        <v>164</v>
      </c>
      <c r="D1548" s="33" t="s">
        <v>165</v>
      </c>
      <c r="E1548" s="33" t="s">
        <v>166</v>
      </c>
      <c r="F1548" s="33" t="s">
        <v>163</v>
      </c>
    </row>
    <row r="1549" spans="1:6" ht="15" thickBot="1">
      <c r="A1549" s="31">
        <v>7997101</v>
      </c>
      <c r="B1549" s="32">
        <v>26000000</v>
      </c>
      <c r="C1549" s="33" t="s">
        <v>282</v>
      </c>
      <c r="D1549" s="33" t="s">
        <v>161</v>
      </c>
      <c r="E1549" s="33" t="s">
        <v>162</v>
      </c>
      <c r="F1549" s="33" t="s">
        <v>163</v>
      </c>
    </row>
    <row r="1550" spans="1:6" ht="15" thickBot="1">
      <c r="A1550" s="31">
        <v>7997230</v>
      </c>
      <c r="B1550" s="32">
        <v>11500000</v>
      </c>
      <c r="C1550" s="33" t="s">
        <v>204</v>
      </c>
      <c r="D1550" s="33" t="s">
        <v>174</v>
      </c>
      <c r="E1550" s="33" t="s">
        <v>166</v>
      </c>
      <c r="F1550" s="33" t="s">
        <v>163</v>
      </c>
    </row>
    <row r="1551" spans="1:6" ht="15" thickBot="1">
      <c r="A1551" s="31">
        <v>7997416</v>
      </c>
      <c r="B1551" s="32">
        <v>14000000</v>
      </c>
      <c r="C1551" s="33" t="s">
        <v>240</v>
      </c>
      <c r="D1551" s="33" t="s">
        <v>200</v>
      </c>
      <c r="E1551" s="33" t="s">
        <v>166</v>
      </c>
      <c r="F1551" s="33" t="s">
        <v>163</v>
      </c>
    </row>
    <row r="1552" spans="1:6" ht="15" thickBot="1">
      <c r="A1552" s="31">
        <v>7997627</v>
      </c>
      <c r="B1552" s="32">
        <v>30000</v>
      </c>
      <c r="C1552" s="33" t="s">
        <v>454</v>
      </c>
      <c r="D1552" s="33" t="s">
        <v>165</v>
      </c>
      <c r="E1552" s="33" t="s">
        <v>166</v>
      </c>
      <c r="F1552" s="33" t="s">
        <v>167</v>
      </c>
    </row>
    <row r="1553" spans="1:6" ht="15" thickBot="1">
      <c r="A1553" s="31">
        <v>8001501</v>
      </c>
      <c r="B1553" s="32">
        <v>40000000</v>
      </c>
      <c r="C1553" s="33" t="s">
        <v>180</v>
      </c>
      <c r="D1553" s="33" t="s">
        <v>165</v>
      </c>
      <c r="E1553" s="33" t="s">
        <v>166</v>
      </c>
      <c r="F1553" s="33" t="s">
        <v>163</v>
      </c>
    </row>
    <row r="1554" spans="1:6" ht="15" thickBot="1">
      <c r="A1554" s="31">
        <v>8002449</v>
      </c>
      <c r="B1554" s="32">
        <v>6000000</v>
      </c>
      <c r="C1554" s="33" t="s">
        <v>164</v>
      </c>
      <c r="D1554" s="33" t="s">
        <v>165</v>
      </c>
      <c r="E1554" s="33" t="s">
        <v>166</v>
      </c>
      <c r="F1554" s="33" t="s">
        <v>163</v>
      </c>
    </row>
    <row r="1555" spans="1:6" ht="15" thickBot="1">
      <c r="A1555" s="31">
        <v>8004006</v>
      </c>
      <c r="B1555" s="32">
        <v>10000000</v>
      </c>
      <c r="C1555" s="33" t="s">
        <v>355</v>
      </c>
      <c r="D1555" s="33" t="s">
        <v>161</v>
      </c>
      <c r="E1555" s="33" t="s">
        <v>162</v>
      </c>
      <c r="F1555" s="33" t="s">
        <v>163</v>
      </c>
    </row>
    <row r="1556" spans="1:6" ht="15" thickBot="1">
      <c r="A1556" s="31">
        <v>8004933</v>
      </c>
      <c r="B1556" s="32">
        <v>26000000</v>
      </c>
      <c r="C1556" s="33" t="s">
        <v>388</v>
      </c>
      <c r="D1556" s="33" t="s">
        <v>169</v>
      </c>
      <c r="E1556" s="34" t="s">
        <v>170</v>
      </c>
      <c r="F1556" s="33" t="s">
        <v>163</v>
      </c>
    </row>
    <row r="1557" spans="1:6" ht="15" thickBot="1">
      <c r="A1557" s="31">
        <v>8005459</v>
      </c>
      <c r="B1557" s="32">
        <v>50000000</v>
      </c>
      <c r="C1557" s="33" t="s">
        <v>264</v>
      </c>
      <c r="D1557" s="33" t="s">
        <v>169</v>
      </c>
      <c r="E1557" s="34" t="s">
        <v>170</v>
      </c>
      <c r="F1557" s="33" t="s">
        <v>163</v>
      </c>
    </row>
    <row r="1558" spans="1:6" ht="15" thickBot="1">
      <c r="A1558" s="31">
        <v>8009575</v>
      </c>
      <c r="B1558" s="32">
        <v>8500000</v>
      </c>
      <c r="C1558" s="33" t="s">
        <v>239</v>
      </c>
      <c r="D1558" s="33" t="s">
        <v>161</v>
      </c>
      <c r="E1558" s="33" t="s">
        <v>162</v>
      </c>
      <c r="F1558" s="33" t="s">
        <v>163</v>
      </c>
    </row>
    <row r="1559" spans="1:6" ht="15" thickBot="1">
      <c r="A1559" s="31">
        <v>8011711</v>
      </c>
      <c r="B1559" s="32">
        <v>7000000</v>
      </c>
      <c r="C1559" s="33" t="s">
        <v>196</v>
      </c>
      <c r="D1559" s="33" t="s">
        <v>161</v>
      </c>
      <c r="E1559" s="33" t="s">
        <v>162</v>
      </c>
      <c r="F1559" s="33" t="s">
        <v>163</v>
      </c>
    </row>
    <row r="1560" spans="1:6" ht="15" thickBot="1">
      <c r="A1560" s="31">
        <v>8012102</v>
      </c>
      <c r="B1560" s="32">
        <v>2600000</v>
      </c>
      <c r="C1560" s="33" t="s">
        <v>455</v>
      </c>
      <c r="D1560" s="33" t="s">
        <v>169</v>
      </c>
      <c r="E1560" s="34" t="s">
        <v>170</v>
      </c>
      <c r="F1560" s="33" t="s">
        <v>163</v>
      </c>
    </row>
    <row r="1561" spans="1:6" ht="15" thickBot="1">
      <c r="A1561" s="31">
        <v>8012204</v>
      </c>
      <c r="B1561" s="32">
        <v>43000000</v>
      </c>
      <c r="C1561" s="33" t="s">
        <v>180</v>
      </c>
      <c r="D1561" s="33" t="s">
        <v>165</v>
      </c>
      <c r="E1561" s="33" t="s">
        <v>166</v>
      </c>
      <c r="F1561" s="33" t="s">
        <v>163</v>
      </c>
    </row>
    <row r="1562" spans="1:6" ht="15" thickBot="1">
      <c r="A1562" s="31">
        <v>8012323</v>
      </c>
      <c r="B1562" s="32">
        <v>25500000</v>
      </c>
      <c r="C1562" s="33" t="s">
        <v>204</v>
      </c>
      <c r="D1562" s="33" t="s">
        <v>174</v>
      </c>
      <c r="E1562" s="33" t="s">
        <v>166</v>
      </c>
      <c r="F1562" s="33" t="s">
        <v>163</v>
      </c>
    </row>
    <row r="1563" spans="1:6" ht="29" thickBot="1">
      <c r="A1563" s="31">
        <v>8012427</v>
      </c>
      <c r="B1563" s="32">
        <v>3763000</v>
      </c>
      <c r="C1563" s="33" t="s">
        <v>286</v>
      </c>
      <c r="D1563" s="33" t="s">
        <v>161</v>
      </c>
      <c r="E1563" s="33" t="s">
        <v>162</v>
      </c>
      <c r="F1563" s="33" t="s">
        <v>163</v>
      </c>
    </row>
    <row r="1564" spans="1:6" ht="15" thickBot="1">
      <c r="A1564" s="31">
        <v>8012464</v>
      </c>
      <c r="B1564" s="32">
        <v>23000</v>
      </c>
      <c r="C1564" s="33" t="s">
        <v>177</v>
      </c>
      <c r="D1564" s="33" t="s">
        <v>161</v>
      </c>
      <c r="E1564" s="33" t="s">
        <v>162</v>
      </c>
      <c r="F1564" s="33" t="s">
        <v>167</v>
      </c>
    </row>
    <row r="1565" spans="1:6" ht="15" thickBot="1">
      <c r="A1565" s="31">
        <v>8012491</v>
      </c>
      <c r="B1565" s="32">
        <v>2700000</v>
      </c>
      <c r="C1565" s="33" t="s">
        <v>423</v>
      </c>
      <c r="D1565" s="33" t="s">
        <v>161</v>
      </c>
      <c r="E1565" s="33" t="s">
        <v>162</v>
      </c>
      <c r="F1565" s="33" t="s">
        <v>163</v>
      </c>
    </row>
    <row r="1566" spans="1:6" ht="15" thickBot="1">
      <c r="A1566" s="31">
        <v>8013367</v>
      </c>
      <c r="B1566" s="32">
        <v>50000</v>
      </c>
      <c r="C1566" s="33" t="s">
        <v>180</v>
      </c>
      <c r="D1566" s="33" t="s">
        <v>165</v>
      </c>
      <c r="E1566" s="33" t="s">
        <v>166</v>
      </c>
      <c r="F1566" s="33" t="s">
        <v>167</v>
      </c>
    </row>
    <row r="1567" spans="1:6" ht="15" thickBot="1">
      <c r="A1567" s="31">
        <v>8013426</v>
      </c>
      <c r="B1567" s="32">
        <v>8500000</v>
      </c>
      <c r="C1567" s="33" t="s">
        <v>380</v>
      </c>
      <c r="D1567" s="33" t="s">
        <v>174</v>
      </c>
      <c r="E1567" s="33" t="s">
        <v>166</v>
      </c>
      <c r="F1567" s="33" t="s">
        <v>163</v>
      </c>
    </row>
    <row r="1568" spans="1:6" ht="15" thickBot="1">
      <c r="A1568" s="31">
        <v>8013651</v>
      </c>
      <c r="B1568" s="32">
        <v>30000000</v>
      </c>
      <c r="C1568" s="33" t="s">
        <v>185</v>
      </c>
      <c r="D1568" s="33" t="s">
        <v>174</v>
      </c>
      <c r="E1568" s="33" t="s">
        <v>166</v>
      </c>
      <c r="F1568" s="33" t="s">
        <v>163</v>
      </c>
    </row>
    <row r="1569" spans="1:6" ht="15" thickBot="1">
      <c r="A1569" s="31">
        <v>8014895</v>
      </c>
      <c r="B1569" s="32">
        <v>4000000</v>
      </c>
      <c r="C1569" s="33" t="s">
        <v>456</v>
      </c>
      <c r="D1569" s="33" t="s">
        <v>200</v>
      </c>
      <c r="E1569" s="33" t="s">
        <v>166</v>
      </c>
      <c r="F1569" s="33" t="s">
        <v>163</v>
      </c>
    </row>
    <row r="1570" spans="1:6" ht="15" thickBot="1">
      <c r="A1570" s="31">
        <v>8019169</v>
      </c>
      <c r="B1570" s="32">
        <v>11000000</v>
      </c>
      <c r="C1570" s="33" t="s">
        <v>164</v>
      </c>
      <c r="D1570" s="33" t="s">
        <v>165</v>
      </c>
      <c r="E1570" s="33" t="s">
        <v>166</v>
      </c>
      <c r="F1570" s="33" t="s">
        <v>163</v>
      </c>
    </row>
    <row r="1571" spans="1:6" ht="15" thickBot="1">
      <c r="A1571" s="31">
        <v>8019623</v>
      </c>
      <c r="B1571" s="32">
        <v>12500000</v>
      </c>
      <c r="C1571" s="33" t="s">
        <v>275</v>
      </c>
      <c r="D1571" s="33" t="s">
        <v>161</v>
      </c>
      <c r="E1571" s="33" t="s">
        <v>162</v>
      </c>
      <c r="F1571" s="33" t="s">
        <v>163</v>
      </c>
    </row>
    <row r="1572" spans="1:6" ht="15" thickBot="1">
      <c r="A1572" s="31">
        <v>8020430</v>
      </c>
      <c r="B1572" s="32">
        <v>18000000</v>
      </c>
      <c r="C1572" s="33" t="s">
        <v>281</v>
      </c>
      <c r="D1572" s="33" t="s">
        <v>174</v>
      </c>
      <c r="E1572" s="33" t="s">
        <v>166</v>
      </c>
      <c r="F1572" s="33" t="s">
        <v>163</v>
      </c>
    </row>
    <row r="1573" spans="1:6" ht="15" thickBot="1">
      <c r="A1573" s="31">
        <v>8020472</v>
      </c>
      <c r="B1573" s="32">
        <v>45000</v>
      </c>
      <c r="C1573" s="33" t="s">
        <v>180</v>
      </c>
      <c r="D1573" s="33" t="s">
        <v>165</v>
      </c>
      <c r="E1573" s="33" t="s">
        <v>166</v>
      </c>
      <c r="F1573" s="33" t="s">
        <v>167</v>
      </c>
    </row>
    <row r="1574" spans="1:6" ht="15" thickBot="1">
      <c r="A1574" s="31">
        <v>8021093</v>
      </c>
      <c r="B1574" s="32">
        <v>140000000</v>
      </c>
      <c r="C1574" s="33" t="s">
        <v>177</v>
      </c>
      <c r="D1574" s="33" t="s">
        <v>161</v>
      </c>
      <c r="E1574" s="33" t="s">
        <v>162</v>
      </c>
      <c r="F1574" s="33" t="s">
        <v>163</v>
      </c>
    </row>
    <row r="1575" spans="1:6" ht="15" thickBot="1">
      <c r="A1575" s="31">
        <v>8021366</v>
      </c>
      <c r="B1575" s="32">
        <v>23000000</v>
      </c>
      <c r="C1575" s="33" t="s">
        <v>171</v>
      </c>
      <c r="D1575" s="33" t="s">
        <v>161</v>
      </c>
      <c r="E1575" s="33" t="s">
        <v>162</v>
      </c>
      <c r="F1575" s="33" t="s">
        <v>163</v>
      </c>
    </row>
    <row r="1576" spans="1:6" ht="15" thickBot="1">
      <c r="A1576" s="31">
        <v>8022065</v>
      </c>
      <c r="B1576" s="32">
        <v>87000000</v>
      </c>
      <c r="C1576" s="33" t="s">
        <v>177</v>
      </c>
      <c r="D1576" s="33" t="s">
        <v>161</v>
      </c>
      <c r="E1576" s="33" t="s">
        <v>162</v>
      </c>
      <c r="F1576" s="33" t="s">
        <v>163</v>
      </c>
    </row>
    <row r="1577" spans="1:6" ht="15" thickBot="1">
      <c r="A1577" s="31">
        <v>8023705</v>
      </c>
      <c r="B1577" s="32">
        <v>6500000</v>
      </c>
      <c r="C1577" s="33" t="s">
        <v>457</v>
      </c>
      <c r="D1577" s="33" t="s">
        <v>174</v>
      </c>
      <c r="E1577" s="33" t="s">
        <v>166</v>
      </c>
      <c r="F1577" s="33" t="s">
        <v>163</v>
      </c>
    </row>
    <row r="1578" spans="1:6" ht="15" thickBot="1">
      <c r="A1578" s="31">
        <v>8024868</v>
      </c>
      <c r="B1578" s="32">
        <v>4600000</v>
      </c>
      <c r="C1578" s="33" t="s">
        <v>205</v>
      </c>
      <c r="D1578" s="33" t="s">
        <v>161</v>
      </c>
      <c r="E1578" s="33" t="s">
        <v>162</v>
      </c>
      <c r="F1578" s="33" t="s">
        <v>163</v>
      </c>
    </row>
    <row r="1579" spans="1:6" ht="15" thickBot="1">
      <c r="A1579" s="31">
        <v>8024941</v>
      </c>
      <c r="B1579" s="32">
        <v>60000000</v>
      </c>
      <c r="C1579" s="33" t="s">
        <v>205</v>
      </c>
      <c r="D1579" s="33" t="s">
        <v>161</v>
      </c>
      <c r="E1579" s="33" t="s">
        <v>162</v>
      </c>
      <c r="F1579" s="33" t="s">
        <v>163</v>
      </c>
    </row>
    <row r="1580" spans="1:6" ht="15" thickBot="1">
      <c r="A1580" s="31">
        <v>8028610</v>
      </c>
      <c r="B1580" s="32">
        <v>9300000</v>
      </c>
      <c r="C1580" s="33" t="s">
        <v>171</v>
      </c>
      <c r="D1580" s="33" t="s">
        <v>161</v>
      </c>
      <c r="E1580" s="33" t="s">
        <v>162</v>
      </c>
      <c r="F1580" s="33" t="s">
        <v>163</v>
      </c>
    </row>
    <row r="1581" spans="1:6" ht="15" thickBot="1">
      <c r="A1581" s="31">
        <v>8028982</v>
      </c>
      <c r="B1581" s="32">
        <v>6500000</v>
      </c>
      <c r="C1581" s="33" t="s">
        <v>171</v>
      </c>
      <c r="D1581" s="33" t="s">
        <v>161</v>
      </c>
      <c r="E1581" s="33" t="s">
        <v>162</v>
      </c>
      <c r="F1581" s="33" t="s">
        <v>163</v>
      </c>
    </row>
    <row r="1582" spans="1:6" ht="15" thickBot="1">
      <c r="A1582" s="31">
        <v>8029120</v>
      </c>
      <c r="B1582" s="32">
        <v>13500000</v>
      </c>
      <c r="C1582" s="33" t="s">
        <v>292</v>
      </c>
      <c r="D1582" s="33" t="s">
        <v>165</v>
      </c>
      <c r="E1582" s="33" t="s">
        <v>166</v>
      </c>
      <c r="F1582" s="33" t="s">
        <v>163</v>
      </c>
    </row>
    <row r="1583" spans="1:6" ht="15" thickBot="1">
      <c r="A1583" s="31">
        <v>8029290</v>
      </c>
      <c r="B1583" s="32">
        <v>12000000</v>
      </c>
      <c r="C1583" s="33" t="s">
        <v>160</v>
      </c>
      <c r="D1583" s="33" t="s">
        <v>174</v>
      </c>
      <c r="E1583" s="33" t="s">
        <v>166</v>
      </c>
      <c r="F1583" s="33" t="s">
        <v>163</v>
      </c>
    </row>
    <row r="1584" spans="1:6" ht="15" thickBot="1">
      <c r="A1584" s="31">
        <v>8029512</v>
      </c>
      <c r="B1584" s="32">
        <v>43500000</v>
      </c>
      <c r="C1584" s="33" t="s">
        <v>180</v>
      </c>
      <c r="D1584" s="33" t="s">
        <v>165</v>
      </c>
      <c r="E1584" s="33" t="s">
        <v>166</v>
      </c>
      <c r="F1584" s="33" t="s">
        <v>163</v>
      </c>
    </row>
    <row r="1585" spans="1:6" ht="15" thickBot="1">
      <c r="A1585" s="31">
        <v>8029686</v>
      </c>
      <c r="B1585" s="32">
        <v>42500000</v>
      </c>
      <c r="C1585" s="33" t="s">
        <v>180</v>
      </c>
      <c r="D1585" s="33" t="s">
        <v>165</v>
      </c>
      <c r="E1585" s="33" t="s">
        <v>166</v>
      </c>
      <c r="F1585" s="33" t="s">
        <v>163</v>
      </c>
    </row>
    <row r="1586" spans="1:6" ht="15" thickBot="1">
      <c r="A1586" s="31">
        <v>8029823</v>
      </c>
      <c r="B1586" s="32">
        <v>4800000</v>
      </c>
      <c r="C1586" s="33" t="s">
        <v>235</v>
      </c>
      <c r="D1586" s="33" t="s">
        <v>161</v>
      </c>
      <c r="E1586" s="33" t="s">
        <v>162</v>
      </c>
      <c r="F1586" s="33" t="s">
        <v>163</v>
      </c>
    </row>
    <row r="1587" spans="1:6" ht="15" thickBot="1">
      <c r="A1587" s="31">
        <v>8030121</v>
      </c>
      <c r="B1587" s="32">
        <v>12500000</v>
      </c>
      <c r="C1587" s="33" t="s">
        <v>298</v>
      </c>
      <c r="D1587" s="33" t="s">
        <v>174</v>
      </c>
      <c r="E1587" s="33" t="s">
        <v>166</v>
      </c>
      <c r="F1587" s="33" t="s">
        <v>163</v>
      </c>
    </row>
    <row r="1588" spans="1:6" ht="15" thickBot="1">
      <c r="A1588" s="31">
        <v>8030288</v>
      </c>
      <c r="B1588" s="32">
        <v>6000000</v>
      </c>
      <c r="C1588" s="33" t="s">
        <v>205</v>
      </c>
      <c r="D1588" s="33" t="s">
        <v>161</v>
      </c>
      <c r="E1588" s="33" t="s">
        <v>162</v>
      </c>
      <c r="F1588" s="33" t="s">
        <v>163</v>
      </c>
    </row>
    <row r="1589" spans="1:6" ht="15" thickBot="1">
      <c r="A1589" s="31">
        <v>8030314</v>
      </c>
      <c r="B1589" s="32">
        <v>5000000</v>
      </c>
      <c r="C1589" s="33" t="s">
        <v>204</v>
      </c>
      <c r="D1589" s="33" t="s">
        <v>174</v>
      </c>
      <c r="E1589" s="33" t="s">
        <v>166</v>
      </c>
      <c r="F1589" s="33" t="s">
        <v>163</v>
      </c>
    </row>
    <row r="1590" spans="1:6" ht="15" thickBot="1">
      <c r="A1590" s="31">
        <v>8030378</v>
      </c>
      <c r="B1590" s="32">
        <v>2500000</v>
      </c>
      <c r="C1590" s="33" t="s">
        <v>247</v>
      </c>
      <c r="D1590" s="33" t="s">
        <v>161</v>
      </c>
      <c r="E1590" s="33" t="s">
        <v>162</v>
      </c>
      <c r="F1590" s="33" t="s">
        <v>163</v>
      </c>
    </row>
    <row r="1591" spans="1:6" ht="15" thickBot="1">
      <c r="A1591" s="31">
        <v>8030382</v>
      </c>
      <c r="B1591" s="32">
        <v>9700000</v>
      </c>
      <c r="C1591" s="33" t="s">
        <v>458</v>
      </c>
      <c r="D1591" s="33" t="s">
        <v>169</v>
      </c>
      <c r="E1591" s="34" t="s">
        <v>170</v>
      </c>
      <c r="F1591" s="33" t="s">
        <v>163</v>
      </c>
    </row>
    <row r="1592" spans="1:6" ht="15" thickBot="1">
      <c r="A1592" s="31">
        <v>8030401</v>
      </c>
      <c r="B1592" s="32">
        <v>8000000</v>
      </c>
      <c r="C1592" s="33" t="s">
        <v>184</v>
      </c>
      <c r="D1592" s="33" t="s">
        <v>161</v>
      </c>
      <c r="E1592" s="33" t="s">
        <v>162</v>
      </c>
      <c r="F1592" s="33" t="s">
        <v>163</v>
      </c>
    </row>
    <row r="1593" spans="1:6" ht="15" thickBot="1">
      <c r="A1593" s="31">
        <v>8031033</v>
      </c>
      <c r="B1593" s="32">
        <v>8500000</v>
      </c>
      <c r="C1593" s="33" t="s">
        <v>459</v>
      </c>
      <c r="D1593" s="33" t="s">
        <v>200</v>
      </c>
      <c r="E1593" s="33" t="s">
        <v>166</v>
      </c>
      <c r="F1593" s="33" t="s">
        <v>163</v>
      </c>
    </row>
    <row r="1594" spans="1:6" ht="15" thickBot="1">
      <c r="A1594" s="31">
        <v>8031836</v>
      </c>
      <c r="B1594" s="32">
        <v>3520000</v>
      </c>
      <c r="C1594" s="33" t="s">
        <v>187</v>
      </c>
      <c r="D1594" s="33" t="s">
        <v>161</v>
      </c>
      <c r="E1594" s="33" t="s">
        <v>162</v>
      </c>
      <c r="F1594" s="33" t="s">
        <v>163</v>
      </c>
    </row>
    <row r="1595" spans="1:6" ht="15" thickBot="1">
      <c r="A1595" s="31">
        <v>8032363</v>
      </c>
      <c r="B1595" s="32">
        <v>5200000</v>
      </c>
      <c r="C1595" s="33" t="s">
        <v>177</v>
      </c>
      <c r="D1595" s="33" t="s">
        <v>161</v>
      </c>
      <c r="E1595" s="33" t="s">
        <v>162</v>
      </c>
      <c r="F1595" s="33" t="s">
        <v>163</v>
      </c>
    </row>
    <row r="1596" spans="1:6" ht="15" thickBot="1">
      <c r="A1596" s="31">
        <v>8036247</v>
      </c>
      <c r="B1596" s="32">
        <v>16500000</v>
      </c>
      <c r="C1596" s="33" t="s">
        <v>181</v>
      </c>
      <c r="D1596" s="33" t="s">
        <v>174</v>
      </c>
      <c r="E1596" s="33" t="s">
        <v>166</v>
      </c>
      <c r="F1596" s="33" t="s">
        <v>163</v>
      </c>
    </row>
    <row r="1597" spans="1:6" ht="15" thickBot="1">
      <c r="A1597" s="31">
        <v>8038067</v>
      </c>
      <c r="B1597" s="32">
        <v>35000</v>
      </c>
      <c r="C1597" s="33" t="s">
        <v>180</v>
      </c>
      <c r="D1597" s="33" t="s">
        <v>165</v>
      </c>
      <c r="E1597" s="33" t="s">
        <v>166</v>
      </c>
      <c r="F1597" s="33" t="s">
        <v>167</v>
      </c>
    </row>
    <row r="1598" spans="1:6" ht="15" thickBot="1">
      <c r="A1598" s="31">
        <v>8038612</v>
      </c>
      <c r="B1598" s="32">
        <v>10000000</v>
      </c>
      <c r="C1598" s="33" t="s">
        <v>205</v>
      </c>
      <c r="D1598" s="33" t="s">
        <v>161</v>
      </c>
      <c r="E1598" s="33" t="s">
        <v>162</v>
      </c>
      <c r="F1598" s="33" t="s">
        <v>163</v>
      </c>
    </row>
    <row r="1599" spans="1:6" ht="15" thickBot="1">
      <c r="A1599" s="31">
        <v>8039268</v>
      </c>
      <c r="B1599" s="32">
        <v>50000</v>
      </c>
      <c r="C1599" s="33" t="s">
        <v>460</v>
      </c>
      <c r="D1599" s="33" t="s">
        <v>200</v>
      </c>
      <c r="E1599" s="33" t="s">
        <v>166</v>
      </c>
      <c r="F1599" s="33" t="s">
        <v>167</v>
      </c>
    </row>
    <row r="1600" spans="1:6" ht="15" thickBot="1">
      <c r="A1600" s="31">
        <v>8039282</v>
      </c>
      <c r="B1600" s="32">
        <v>6000000</v>
      </c>
      <c r="C1600" s="33" t="s">
        <v>461</v>
      </c>
      <c r="D1600" s="33" t="s">
        <v>174</v>
      </c>
      <c r="E1600" s="33" t="s">
        <v>166</v>
      </c>
      <c r="F1600" s="33" t="s">
        <v>163</v>
      </c>
    </row>
    <row r="1601" spans="1:6" ht="15" thickBot="1">
      <c r="A1601" s="31">
        <v>8040120</v>
      </c>
      <c r="B1601" s="32">
        <v>1800000</v>
      </c>
      <c r="C1601" s="33" t="s">
        <v>410</v>
      </c>
      <c r="D1601" s="33" t="s">
        <v>169</v>
      </c>
      <c r="E1601" s="34" t="s">
        <v>170</v>
      </c>
      <c r="F1601" s="33" t="s">
        <v>163</v>
      </c>
    </row>
    <row r="1602" spans="1:6" ht="15" thickBot="1">
      <c r="A1602" s="31">
        <v>8041177</v>
      </c>
      <c r="B1602" s="32">
        <v>3800000</v>
      </c>
      <c r="C1602" s="33" t="s">
        <v>276</v>
      </c>
      <c r="D1602" s="33" t="s">
        <v>165</v>
      </c>
      <c r="E1602" s="33" t="s">
        <v>166</v>
      </c>
      <c r="F1602" s="33" t="s">
        <v>163</v>
      </c>
    </row>
    <row r="1603" spans="1:6" ht="15" thickBot="1">
      <c r="A1603" s="31">
        <v>8041805</v>
      </c>
      <c r="B1603" s="32">
        <v>8500000</v>
      </c>
      <c r="C1603" s="33" t="s">
        <v>298</v>
      </c>
      <c r="D1603" s="33" t="s">
        <v>174</v>
      </c>
      <c r="E1603" s="33" t="s">
        <v>166</v>
      </c>
      <c r="F1603" s="33" t="s">
        <v>163</v>
      </c>
    </row>
    <row r="1604" spans="1:6" ht="15" thickBot="1">
      <c r="A1604" s="31">
        <v>8044001</v>
      </c>
      <c r="B1604" s="32">
        <v>10500000</v>
      </c>
      <c r="C1604" s="33" t="s">
        <v>181</v>
      </c>
      <c r="D1604" s="33" t="s">
        <v>174</v>
      </c>
      <c r="E1604" s="33" t="s">
        <v>166</v>
      </c>
      <c r="F1604" s="33" t="s">
        <v>163</v>
      </c>
    </row>
    <row r="1605" spans="1:6" ht="15" thickBot="1">
      <c r="A1605" s="31">
        <v>8044335</v>
      </c>
      <c r="B1605" s="32">
        <v>5000000</v>
      </c>
      <c r="C1605" s="33" t="s">
        <v>196</v>
      </c>
      <c r="D1605" s="33" t="s">
        <v>161</v>
      </c>
      <c r="E1605" s="33" t="s">
        <v>162</v>
      </c>
      <c r="F1605" s="33" t="s">
        <v>163</v>
      </c>
    </row>
    <row r="1606" spans="1:6" ht="15" thickBot="1">
      <c r="A1606" s="31">
        <v>8045677</v>
      </c>
      <c r="B1606" s="32">
        <v>30000</v>
      </c>
      <c r="C1606" s="33" t="s">
        <v>415</v>
      </c>
      <c r="D1606" s="33" t="s">
        <v>200</v>
      </c>
      <c r="E1606" s="33" t="s">
        <v>166</v>
      </c>
      <c r="F1606" s="33" t="s">
        <v>167</v>
      </c>
    </row>
    <row r="1607" spans="1:6" ht="15" thickBot="1">
      <c r="A1607" s="31">
        <v>8046142</v>
      </c>
      <c r="B1607" s="32">
        <v>35000</v>
      </c>
      <c r="C1607" s="33" t="s">
        <v>415</v>
      </c>
      <c r="D1607" s="33" t="s">
        <v>200</v>
      </c>
      <c r="E1607" s="33" t="s">
        <v>166</v>
      </c>
      <c r="F1607" s="33" t="s">
        <v>167</v>
      </c>
    </row>
    <row r="1608" spans="1:6" ht="15" thickBot="1">
      <c r="A1608" s="31">
        <v>8048032</v>
      </c>
      <c r="B1608" s="32">
        <v>21500000</v>
      </c>
      <c r="C1608" s="33" t="s">
        <v>272</v>
      </c>
      <c r="D1608" s="33" t="s">
        <v>161</v>
      </c>
      <c r="E1608" s="33" t="s">
        <v>162</v>
      </c>
      <c r="F1608" s="33" t="s">
        <v>163</v>
      </c>
    </row>
    <row r="1609" spans="1:6" ht="15" thickBot="1">
      <c r="A1609" s="31">
        <v>8048060</v>
      </c>
      <c r="B1609" s="32">
        <v>25000000</v>
      </c>
      <c r="C1609" s="33" t="s">
        <v>269</v>
      </c>
      <c r="D1609" s="33" t="s">
        <v>174</v>
      </c>
      <c r="E1609" s="33" t="s">
        <v>166</v>
      </c>
      <c r="F1609" s="33" t="s">
        <v>163</v>
      </c>
    </row>
    <row r="1610" spans="1:6" ht="15" thickBot="1">
      <c r="A1610" s="31">
        <v>8048849</v>
      </c>
      <c r="B1610" s="32">
        <v>7500000</v>
      </c>
      <c r="C1610" s="33" t="s">
        <v>462</v>
      </c>
      <c r="D1610" s="33" t="s">
        <v>161</v>
      </c>
      <c r="E1610" s="33" t="s">
        <v>162</v>
      </c>
      <c r="F1610" s="33" t="s">
        <v>163</v>
      </c>
    </row>
    <row r="1611" spans="1:6" ht="15" thickBot="1">
      <c r="A1611" s="31">
        <v>8049639</v>
      </c>
      <c r="B1611" s="32">
        <v>17000000</v>
      </c>
      <c r="C1611" s="33" t="s">
        <v>211</v>
      </c>
      <c r="D1611" s="33" t="s">
        <v>161</v>
      </c>
      <c r="E1611" s="33" t="s">
        <v>162</v>
      </c>
      <c r="F1611" s="33" t="s">
        <v>163</v>
      </c>
    </row>
    <row r="1612" spans="1:6" ht="15" thickBot="1">
      <c r="A1612" s="31">
        <v>8050031</v>
      </c>
      <c r="B1612" s="32">
        <v>7900000</v>
      </c>
      <c r="C1612" s="33" t="s">
        <v>187</v>
      </c>
      <c r="D1612" s="33" t="s">
        <v>161</v>
      </c>
      <c r="E1612" s="33" t="s">
        <v>162</v>
      </c>
      <c r="F1612" s="33" t="s">
        <v>163</v>
      </c>
    </row>
    <row r="1613" spans="1:6" ht="15" thickBot="1">
      <c r="A1613" s="31">
        <v>8050144</v>
      </c>
      <c r="B1613" s="32">
        <v>19000</v>
      </c>
      <c r="C1613" s="33" t="s">
        <v>235</v>
      </c>
      <c r="D1613" s="33" t="s">
        <v>161</v>
      </c>
      <c r="E1613" s="33" t="s">
        <v>162</v>
      </c>
      <c r="F1613" s="33" t="s">
        <v>167</v>
      </c>
    </row>
    <row r="1614" spans="1:6" ht="15" thickBot="1">
      <c r="A1614" s="31">
        <v>8050679</v>
      </c>
      <c r="B1614" s="32">
        <v>12000000</v>
      </c>
      <c r="C1614" s="33" t="s">
        <v>235</v>
      </c>
      <c r="D1614" s="33" t="s">
        <v>161</v>
      </c>
      <c r="E1614" s="33" t="s">
        <v>162</v>
      </c>
      <c r="F1614" s="33" t="s">
        <v>163</v>
      </c>
    </row>
    <row r="1615" spans="1:6" ht="15" thickBot="1">
      <c r="A1615" s="31">
        <v>8051578</v>
      </c>
      <c r="B1615" s="32">
        <v>180000</v>
      </c>
      <c r="C1615" s="33" t="s">
        <v>177</v>
      </c>
      <c r="D1615" s="33" t="s">
        <v>161</v>
      </c>
      <c r="E1615" s="33" t="s">
        <v>162</v>
      </c>
      <c r="F1615" s="33" t="s">
        <v>167</v>
      </c>
    </row>
    <row r="1616" spans="1:6" ht="15" thickBot="1">
      <c r="A1616" s="31">
        <v>8051875</v>
      </c>
      <c r="B1616" s="32">
        <v>50000</v>
      </c>
      <c r="C1616" s="33" t="s">
        <v>180</v>
      </c>
      <c r="D1616" s="33" t="s">
        <v>165</v>
      </c>
      <c r="E1616" s="33" t="s">
        <v>166</v>
      </c>
      <c r="F1616" s="33" t="s">
        <v>167</v>
      </c>
    </row>
    <row r="1617" spans="1:6" ht="15" thickBot="1">
      <c r="A1617" s="31">
        <v>8053995</v>
      </c>
      <c r="B1617" s="32">
        <v>20000000</v>
      </c>
      <c r="C1617" s="33" t="s">
        <v>462</v>
      </c>
      <c r="D1617" s="33" t="s">
        <v>161</v>
      </c>
      <c r="E1617" s="33" t="s">
        <v>162</v>
      </c>
      <c r="F1617" s="33" t="s">
        <v>163</v>
      </c>
    </row>
    <row r="1618" spans="1:6" ht="15" thickBot="1">
      <c r="A1618" s="31">
        <v>8055087</v>
      </c>
      <c r="B1618" s="32">
        <v>30000000</v>
      </c>
      <c r="C1618" s="33" t="s">
        <v>177</v>
      </c>
      <c r="D1618" s="33" t="s">
        <v>174</v>
      </c>
      <c r="E1618" s="33" t="s">
        <v>166</v>
      </c>
      <c r="F1618" s="33" t="s">
        <v>163</v>
      </c>
    </row>
    <row r="1619" spans="1:6" ht="15" thickBot="1">
      <c r="A1619" s="31">
        <v>8055356</v>
      </c>
      <c r="B1619" s="32">
        <v>55000</v>
      </c>
      <c r="C1619" s="33" t="s">
        <v>180</v>
      </c>
      <c r="D1619" s="33" t="s">
        <v>165</v>
      </c>
      <c r="E1619" s="33" t="s">
        <v>166</v>
      </c>
      <c r="F1619" s="33" t="s">
        <v>167</v>
      </c>
    </row>
    <row r="1620" spans="1:6" ht="15" thickBot="1">
      <c r="A1620" s="31">
        <v>8059103</v>
      </c>
      <c r="B1620" s="32">
        <v>59500000</v>
      </c>
      <c r="C1620" s="33" t="s">
        <v>160</v>
      </c>
      <c r="D1620" s="33" t="s">
        <v>174</v>
      </c>
      <c r="E1620" s="33" t="s">
        <v>166</v>
      </c>
      <c r="F1620" s="33" t="s">
        <v>163</v>
      </c>
    </row>
    <row r="1621" spans="1:6" ht="29" thickBot="1">
      <c r="A1621" s="31">
        <v>8059145</v>
      </c>
      <c r="B1621" s="32">
        <v>8200000</v>
      </c>
      <c r="C1621" s="33" t="s">
        <v>192</v>
      </c>
      <c r="D1621" s="33" t="s">
        <v>174</v>
      </c>
      <c r="E1621" s="33" t="s">
        <v>166</v>
      </c>
      <c r="F1621" s="33" t="s">
        <v>163</v>
      </c>
    </row>
    <row r="1622" spans="1:6" ht="15" thickBot="1">
      <c r="A1622" s="31">
        <v>8059210</v>
      </c>
      <c r="B1622" s="32">
        <v>9000000</v>
      </c>
      <c r="C1622" s="33" t="s">
        <v>177</v>
      </c>
      <c r="D1622" s="33" t="s">
        <v>161</v>
      </c>
      <c r="E1622" s="33" t="s">
        <v>162</v>
      </c>
      <c r="F1622" s="33" t="s">
        <v>163</v>
      </c>
    </row>
    <row r="1623" spans="1:6" ht="15" thickBot="1">
      <c r="A1623" s="31">
        <v>8059795</v>
      </c>
      <c r="B1623" s="32">
        <v>28500000</v>
      </c>
      <c r="C1623" s="33" t="s">
        <v>177</v>
      </c>
      <c r="D1623" s="33" t="s">
        <v>174</v>
      </c>
      <c r="E1623" s="33" t="s">
        <v>166</v>
      </c>
      <c r="F1623" s="33" t="s">
        <v>163</v>
      </c>
    </row>
    <row r="1624" spans="1:6" ht="15" thickBot="1">
      <c r="A1624" s="31">
        <v>8060017</v>
      </c>
      <c r="B1624" s="32">
        <v>18000</v>
      </c>
      <c r="C1624" s="33" t="s">
        <v>196</v>
      </c>
      <c r="D1624" s="33" t="s">
        <v>161</v>
      </c>
      <c r="E1624" s="33" t="s">
        <v>162</v>
      </c>
      <c r="F1624" s="33" t="s">
        <v>167</v>
      </c>
    </row>
    <row r="1625" spans="1:6" ht="15" thickBot="1">
      <c r="A1625" s="31">
        <v>8060482</v>
      </c>
      <c r="B1625" s="32">
        <v>2660000</v>
      </c>
      <c r="C1625" s="33" t="s">
        <v>272</v>
      </c>
      <c r="D1625" s="33" t="s">
        <v>161</v>
      </c>
      <c r="E1625" s="33" t="s">
        <v>162</v>
      </c>
      <c r="F1625" s="33" t="s">
        <v>163</v>
      </c>
    </row>
    <row r="1626" spans="1:6" ht="15" thickBot="1">
      <c r="A1626" s="31">
        <v>8060679</v>
      </c>
      <c r="B1626" s="32">
        <v>9500000</v>
      </c>
      <c r="C1626" s="33" t="s">
        <v>446</v>
      </c>
      <c r="D1626" s="33" t="s">
        <v>174</v>
      </c>
      <c r="E1626" s="33" t="s">
        <v>166</v>
      </c>
      <c r="F1626" s="33" t="s">
        <v>163</v>
      </c>
    </row>
    <row r="1627" spans="1:6" ht="15" thickBot="1">
      <c r="A1627" s="31">
        <v>8060985</v>
      </c>
      <c r="B1627" s="32">
        <v>22000000</v>
      </c>
      <c r="C1627" s="33" t="s">
        <v>204</v>
      </c>
      <c r="D1627" s="33" t="s">
        <v>174</v>
      </c>
      <c r="E1627" s="33" t="s">
        <v>166</v>
      </c>
      <c r="F1627" s="33" t="s">
        <v>163</v>
      </c>
    </row>
    <row r="1628" spans="1:6" ht="15" thickBot="1">
      <c r="A1628" s="31">
        <v>8064061</v>
      </c>
      <c r="B1628" s="32">
        <v>20000000</v>
      </c>
      <c r="C1628" s="33" t="s">
        <v>314</v>
      </c>
      <c r="D1628" s="33" t="s">
        <v>200</v>
      </c>
      <c r="E1628" s="33" t="s">
        <v>166</v>
      </c>
      <c r="F1628" s="33" t="s">
        <v>163</v>
      </c>
    </row>
    <row r="1629" spans="1:6" ht="15" thickBot="1">
      <c r="A1629" s="31">
        <v>8065405</v>
      </c>
      <c r="B1629" s="32">
        <v>11000000</v>
      </c>
      <c r="C1629" s="33" t="s">
        <v>353</v>
      </c>
      <c r="D1629" s="33" t="s">
        <v>174</v>
      </c>
      <c r="E1629" s="33" t="s">
        <v>166</v>
      </c>
      <c r="F1629" s="33" t="s">
        <v>163</v>
      </c>
    </row>
    <row r="1630" spans="1:6" ht="15" thickBot="1">
      <c r="A1630" s="31">
        <v>8065960</v>
      </c>
      <c r="B1630" s="32">
        <v>22000000</v>
      </c>
      <c r="C1630" s="33" t="s">
        <v>196</v>
      </c>
      <c r="D1630" s="33" t="s">
        <v>161</v>
      </c>
      <c r="E1630" s="33" t="s">
        <v>162</v>
      </c>
      <c r="F1630" s="33" t="s">
        <v>163</v>
      </c>
    </row>
    <row r="1631" spans="1:6" ht="15" thickBot="1">
      <c r="A1631" s="31">
        <v>8066071</v>
      </c>
      <c r="B1631" s="32">
        <v>6000000</v>
      </c>
      <c r="C1631" s="33" t="s">
        <v>463</v>
      </c>
      <c r="D1631" s="33" t="s">
        <v>174</v>
      </c>
      <c r="E1631" s="33" t="s">
        <v>166</v>
      </c>
      <c r="F1631" s="33" t="s">
        <v>163</v>
      </c>
    </row>
    <row r="1632" spans="1:6" ht="29" thickBot="1">
      <c r="A1632" s="31">
        <v>8066498</v>
      </c>
      <c r="B1632" s="32">
        <v>8500000</v>
      </c>
      <c r="C1632" s="33" t="s">
        <v>270</v>
      </c>
      <c r="D1632" s="33" t="s">
        <v>165</v>
      </c>
      <c r="E1632" s="33" t="s">
        <v>166</v>
      </c>
      <c r="F1632" s="33" t="s">
        <v>163</v>
      </c>
    </row>
    <row r="1633" spans="1:6" ht="15" thickBot="1">
      <c r="A1633" s="31">
        <v>8066527</v>
      </c>
      <c r="B1633" s="32">
        <v>17500000</v>
      </c>
      <c r="C1633" s="33" t="s">
        <v>274</v>
      </c>
      <c r="D1633" s="33" t="s">
        <v>169</v>
      </c>
      <c r="E1633" s="34" t="s">
        <v>170</v>
      </c>
      <c r="F1633" s="33" t="s">
        <v>163</v>
      </c>
    </row>
    <row r="1634" spans="1:6" ht="15" thickBot="1">
      <c r="A1634" s="31">
        <v>8066579</v>
      </c>
      <c r="B1634" s="32">
        <v>30000</v>
      </c>
      <c r="C1634" s="33" t="s">
        <v>190</v>
      </c>
      <c r="D1634" s="33" t="s">
        <v>169</v>
      </c>
      <c r="E1634" s="34" t="s">
        <v>170</v>
      </c>
      <c r="F1634" s="33" t="s">
        <v>167</v>
      </c>
    </row>
    <row r="1635" spans="1:6" ht="29" thickBot="1">
      <c r="A1635" s="31">
        <v>8066586</v>
      </c>
      <c r="B1635" s="32">
        <v>4000000</v>
      </c>
      <c r="C1635" s="33" t="s">
        <v>433</v>
      </c>
      <c r="D1635" s="33" t="s">
        <v>174</v>
      </c>
      <c r="E1635" s="33" t="s">
        <v>166</v>
      </c>
      <c r="F1635" s="33" t="s">
        <v>163</v>
      </c>
    </row>
    <row r="1636" spans="1:6" ht="15" thickBot="1">
      <c r="A1636" s="31">
        <v>8066671</v>
      </c>
      <c r="B1636" s="32">
        <v>4300000</v>
      </c>
      <c r="C1636" s="33" t="s">
        <v>464</v>
      </c>
      <c r="D1636" s="33" t="s">
        <v>174</v>
      </c>
      <c r="E1636" s="33" t="s">
        <v>166</v>
      </c>
      <c r="F1636" s="33" t="s">
        <v>163</v>
      </c>
    </row>
    <row r="1637" spans="1:6" ht="15" thickBot="1">
      <c r="A1637" s="31">
        <v>8067166</v>
      </c>
      <c r="B1637" s="32">
        <v>7500000</v>
      </c>
      <c r="C1637" s="33" t="s">
        <v>235</v>
      </c>
      <c r="D1637" s="33" t="s">
        <v>161</v>
      </c>
      <c r="E1637" s="33" t="s">
        <v>162</v>
      </c>
      <c r="F1637" s="33" t="s">
        <v>163</v>
      </c>
    </row>
    <row r="1638" spans="1:6" ht="15" thickBot="1">
      <c r="A1638" s="31">
        <v>8067446</v>
      </c>
      <c r="B1638" s="32">
        <v>55000000</v>
      </c>
      <c r="C1638" s="33" t="s">
        <v>173</v>
      </c>
      <c r="D1638" s="33" t="s">
        <v>174</v>
      </c>
      <c r="E1638" s="33" t="s">
        <v>166</v>
      </c>
      <c r="F1638" s="33" t="s">
        <v>163</v>
      </c>
    </row>
    <row r="1639" spans="1:6" ht="15" thickBot="1">
      <c r="A1639" s="31">
        <v>8067464</v>
      </c>
      <c r="B1639" s="32">
        <v>11500000</v>
      </c>
      <c r="C1639" s="33" t="s">
        <v>211</v>
      </c>
      <c r="D1639" s="33" t="s">
        <v>161</v>
      </c>
      <c r="E1639" s="33" t="s">
        <v>162</v>
      </c>
      <c r="F1639" s="33" t="s">
        <v>163</v>
      </c>
    </row>
    <row r="1640" spans="1:6" ht="15" thickBot="1">
      <c r="A1640" s="31">
        <v>8067522</v>
      </c>
      <c r="B1640" s="32">
        <v>6000000</v>
      </c>
      <c r="C1640" s="33" t="s">
        <v>465</v>
      </c>
      <c r="D1640" s="33" t="s">
        <v>174</v>
      </c>
      <c r="E1640" s="33" t="s">
        <v>166</v>
      </c>
      <c r="F1640" s="33" t="s">
        <v>163</v>
      </c>
    </row>
    <row r="1641" spans="1:6" ht="15" thickBot="1">
      <c r="A1641" s="31">
        <v>8067932</v>
      </c>
      <c r="B1641" s="32">
        <v>90000</v>
      </c>
      <c r="C1641" s="33" t="s">
        <v>198</v>
      </c>
      <c r="D1641" s="33" t="s">
        <v>169</v>
      </c>
      <c r="E1641" s="34" t="s">
        <v>170</v>
      </c>
      <c r="F1641" s="33" t="s">
        <v>167</v>
      </c>
    </row>
    <row r="1642" spans="1:6" ht="15" thickBot="1">
      <c r="A1642" s="31">
        <v>8068071</v>
      </c>
      <c r="B1642" s="32">
        <v>9500000</v>
      </c>
      <c r="C1642" s="33" t="s">
        <v>263</v>
      </c>
      <c r="D1642" s="33" t="s">
        <v>161</v>
      </c>
      <c r="E1642" s="33" t="s">
        <v>162</v>
      </c>
      <c r="F1642" s="33" t="s">
        <v>163</v>
      </c>
    </row>
    <row r="1643" spans="1:6" ht="15" thickBot="1">
      <c r="A1643" s="31">
        <v>8068093</v>
      </c>
      <c r="B1643" s="32">
        <v>120000</v>
      </c>
      <c r="C1643" s="33" t="s">
        <v>262</v>
      </c>
      <c r="D1643" s="33" t="s">
        <v>169</v>
      </c>
      <c r="E1643" s="34" t="s">
        <v>170</v>
      </c>
      <c r="F1643" s="33" t="s">
        <v>167</v>
      </c>
    </row>
    <row r="1644" spans="1:6" ht="15" thickBot="1">
      <c r="A1644" s="31">
        <v>8068095</v>
      </c>
      <c r="B1644" s="32">
        <v>17000000</v>
      </c>
      <c r="C1644" s="33" t="s">
        <v>180</v>
      </c>
      <c r="D1644" s="33" t="s">
        <v>165</v>
      </c>
      <c r="E1644" s="33" t="s">
        <v>166</v>
      </c>
      <c r="F1644" s="33" t="s">
        <v>163</v>
      </c>
    </row>
    <row r="1645" spans="1:6" ht="29" thickBot="1">
      <c r="A1645" s="31">
        <v>8068140</v>
      </c>
      <c r="B1645" s="32">
        <v>7000000</v>
      </c>
      <c r="C1645" s="33" t="s">
        <v>466</v>
      </c>
      <c r="D1645" s="33" t="s">
        <v>165</v>
      </c>
      <c r="E1645" s="33" t="s">
        <v>166</v>
      </c>
      <c r="F1645" s="33" t="s">
        <v>163</v>
      </c>
    </row>
    <row r="1646" spans="1:6" ht="15" thickBot="1">
      <c r="A1646" s="31">
        <v>8068204</v>
      </c>
      <c r="B1646" s="32">
        <v>6500000</v>
      </c>
      <c r="C1646" s="33" t="s">
        <v>235</v>
      </c>
      <c r="D1646" s="33" t="s">
        <v>161</v>
      </c>
      <c r="E1646" s="33" t="s">
        <v>162</v>
      </c>
      <c r="F1646" s="33" t="s">
        <v>163</v>
      </c>
    </row>
    <row r="1647" spans="1:6" ht="15" thickBot="1">
      <c r="A1647" s="31">
        <v>8068372</v>
      </c>
      <c r="B1647" s="32">
        <v>16000000</v>
      </c>
      <c r="C1647" s="33" t="s">
        <v>177</v>
      </c>
      <c r="D1647" s="33" t="s">
        <v>161</v>
      </c>
      <c r="E1647" s="33" t="s">
        <v>162</v>
      </c>
      <c r="F1647" s="33" t="s">
        <v>163</v>
      </c>
    </row>
    <row r="1648" spans="1:6" ht="15" thickBot="1">
      <c r="A1648" s="31">
        <v>8068375</v>
      </c>
      <c r="B1648" s="32">
        <v>6700000</v>
      </c>
      <c r="C1648" s="33" t="s">
        <v>331</v>
      </c>
      <c r="D1648" s="33" t="s">
        <v>161</v>
      </c>
      <c r="E1648" s="33" t="s">
        <v>162</v>
      </c>
      <c r="F1648" s="33" t="s">
        <v>163</v>
      </c>
    </row>
    <row r="1649" spans="1:6" ht="15" thickBot="1">
      <c r="A1649" s="31">
        <v>8068416</v>
      </c>
      <c r="B1649" s="32">
        <v>9500000</v>
      </c>
      <c r="C1649" s="33" t="s">
        <v>467</v>
      </c>
      <c r="D1649" s="33" t="s">
        <v>174</v>
      </c>
      <c r="E1649" s="33" t="s">
        <v>166</v>
      </c>
      <c r="F1649" s="33" t="s">
        <v>163</v>
      </c>
    </row>
    <row r="1650" spans="1:6" ht="15" thickBot="1">
      <c r="A1650" s="31">
        <v>8068445</v>
      </c>
      <c r="B1650" s="32">
        <v>32500000</v>
      </c>
      <c r="C1650" s="33" t="s">
        <v>404</v>
      </c>
      <c r="D1650" s="33" t="s">
        <v>174</v>
      </c>
      <c r="E1650" s="33" t="s">
        <v>166</v>
      </c>
      <c r="F1650" s="33" t="s">
        <v>163</v>
      </c>
    </row>
    <row r="1651" spans="1:6" ht="15" thickBot="1">
      <c r="A1651" s="31">
        <v>8070601</v>
      </c>
      <c r="B1651" s="32">
        <v>50000000</v>
      </c>
      <c r="C1651" s="33" t="s">
        <v>180</v>
      </c>
      <c r="D1651" s="33" t="s">
        <v>165</v>
      </c>
      <c r="E1651" s="33" t="s">
        <v>166</v>
      </c>
      <c r="F1651" s="33" t="s">
        <v>163</v>
      </c>
    </row>
    <row r="1652" spans="1:6" ht="15" thickBot="1">
      <c r="A1652" s="31">
        <v>8072587</v>
      </c>
      <c r="B1652" s="32">
        <v>9500000</v>
      </c>
      <c r="C1652" s="33" t="s">
        <v>196</v>
      </c>
      <c r="D1652" s="33" t="s">
        <v>161</v>
      </c>
      <c r="E1652" s="33" t="s">
        <v>162</v>
      </c>
      <c r="F1652" s="33" t="s">
        <v>163</v>
      </c>
    </row>
    <row r="1653" spans="1:6" ht="15" thickBot="1">
      <c r="A1653" s="31">
        <v>8073781</v>
      </c>
      <c r="B1653" s="32">
        <v>14500000</v>
      </c>
      <c r="C1653" s="33" t="s">
        <v>468</v>
      </c>
      <c r="D1653" s="33" t="s">
        <v>169</v>
      </c>
      <c r="E1653" s="34" t="s">
        <v>170</v>
      </c>
      <c r="F1653" s="33" t="s">
        <v>163</v>
      </c>
    </row>
    <row r="1654" spans="1:6" ht="15" thickBot="1">
      <c r="A1654" s="31">
        <v>8074255</v>
      </c>
      <c r="B1654" s="32">
        <v>20000000</v>
      </c>
      <c r="C1654" s="33" t="s">
        <v>177</v>
      </c>
      <c r="D1654" s="33" t="s">
        <v>161</v>
      </c>
      <c r="E1654" s="33" t="s">
        <v>162</v>
      </c>
      <c r="F1654" s="33" t="s">
        <v>163</v>
      </c>
    </row>
    <row r="1655" spans="1:6" ht="15" thickBot="1">
      <c r="A1655" s="31">
        <v>8075209</v>
      </c>
      <c r="B1655" s="32">
        <v>20000</v>
      </c>
      <c r="C1655" s="33" t="s">
        <v>211</v>
      </c>
      <c r="D1655" s="33" t="s">
        <v>161</v>
      </c>
      <c r="E1655" s="33" t="s">
        <v>162</v>
      </c>
      <c r="F1655" s="33" t="s">
        <v>167</v>
      </c>
    </row>
    <row r="1656" spans="1:6" ht="15" thickBot="1">
      <c r="A1656" s="31">
        <v>8075585</v>
      </c>
      <c r="B1656" s="32">
        <v>4700000</v>
      </c>
      <c r="C1656" s="33" t="s">
        <v>469</v>
      </c>
      <c r="D1656" s="33" t="s">
        <v>174</v>
      </c>
      <c r="E1656" s="33" t="s">
        <v>166</v>
      </c>
      <c r="F1656" s="33" t="s">
        <v>163</v>
      </c>
    </row>
    <row r="1657" spans="1:6" ht="15" thickBot="1">
      <c r="A1657" s="31">
        <v>8075615</v>
      </c>
      <c r="B1657" s="32">
        <v>39000000</v>
      </c>
      <c r="C1657" s="33" t="s">
        <v>182</v>
      </c>
      <c r="D1657" s="33" t="s">
        <v>174</v>
      </c>
      <c r="E1657" s="33" t="s">
        <v>166</v>
      </c>
      <c r="F1657" s="33" t="s">
        <v>163</v>
      </c>
    </row>
    <row r="1658" spans="1:6" ht="15" thickBot="1">
      <c r="A1658" s="31">
        <v>8075743</v>
      </c>
      <c r="B1658" s="32">
        <v>55000000</v>
      </c>
      <c r="C1658" s="33" t="s">
        <v>194</v>
      </c>
      <c r="D1658" s="33" t="s">
        <v>174</v>
      </c>
      <c r="E1658" s="33" t="s">
        <v>166</v>
      </c>
      <c r="F1658" s="33" t="s">
        <v>163</v>
      </c>
    </row>
    <row r="1659" spans="1:6" ht="15" thickBot="1">
      <c r="A1659" s="31">
        <v>8075965</v>
      </c>
      <c r="B1659" s="32">
        <v>11000000</v>
      </c>
      <c r="C1659" s="33" t="s">
        <v>281</v>
      </c>
      <c r="D1659" s="33" t="s">
        <v>165</v>
      </c>
      <c r="E1659" s="33" t="s">
        <v>166</v>
      </c>
      <c r="F1659" s="33" t="s">
        <v>163</v>
      </c>
    </row>
    <row r="1660" spans="1:6" ht="15" thickBot="1">
      <c r="A1660" s="31">
        <v>8077404</v>
      </c>
      <c r="B1660" s="32">
        <v>12000000</v>
      </c>
      <c r="C1660" s="33" t="s">
        <v>187</v>
      </c>
      <c r="D1660" s="33" t="s">
        <v>161</v>
      </c>
      <c r="E1660" s="33" t="s">
        <v>162</v>
      </c>
      <c r="F1660" s="33" t="s">
        <v>163</v>
      </c>
    </row>
    <row r="1661" spans="1:6" ht="15" thickBot="1">
      <c r="A1661" s="31">
        <v>8078059</v>
      </c>
      <c r="B1661" s="32">
        <v>14000000</v>
      </c>
      <c r="C1661" s="33" t="s">
        <v>470</v>
      </c>
      <c r="D1661" s="33" t="s">
        <v>174</v>
      </c>
      <c r="E1661" s="33" t="s">
        <v>166</v>
      </c>
      <c r="F1661" s="33" t="s">
        <v>163</v>
      </c>
    </row>
    <row r="1662" spans="1:6" ht="15" thickBot="1">
      <c r="A1662" s="31">
        <v>8078444</v>
      </c>
      <c r="B1662" s="32">
        <v>85000000</v>
      </c>
      <c r="C1662" s="33" t="s">
        <v>177</v>
      </c>
      <c r="D1662" s="33" t="s">
        <v>161</v>
      </c>
      <c r="E1662" s="33" t="s">
        <v>162</v>
      </c>
      <c r="F1662" s="33" t="s">
        <v>163</v>
      </c>
    </row>
    <row r="1663" spans="1:6" ht="15" thickBot="1">
      <c r="A1663" s="31">
        <v>8078445</v>
      </c>
      <c r="B1663" s="32">
        <v>75000000</v>
      </c>
      <c r="C1663" s="33" t="s">
        <v>177</v>
      </c>
      <c r="D1663" s="33" t="s">
        <v>161</v>
      </c>
      <c r="E1663" s="33" t="s">
        <v>162</v>
      </c>
      <c r="F1663" s="33" t="s">
        <v>163</v>
      </c>
    </row>
    <row r="1664" spans="1:6" ht="15" thickBot="1">
      <c r="A1664" s="31">
        <v>8078447</v>
      </c>
      <c r="B1664" s="32">
        <v>7000000</v>
      </c>
      <c r="C1664" s="33" t="s">
        <v>177</v>
      </c>
      <c r="D1664" s="33" t="s">
        <v>161</v>
      </c>
      <c r="E1664" s="33" t="s">
        <v>162</v>
      </c>
      <c r="F1664" s="33" t="s">
        <v>163</v>
      </c>
    </row>
    <row r="1665" spans="1:6" ht="15" thickBot="1">
      <c r="A1665" s="31">
        <v>8078448</v>
      </c>
      <c r="B1665" s="32">
        <v>15000000</v>
      </c>
      <c r="C1665" s="33" t="s">
        <v>177</v>
      </c>
      <c r="D1665" s="33" t="s">
        <v>161</v>
      </c>
      <c r="E1665" s="33" t="s">
        <v>162</v>
      </c>
      <c r="F1665" s="33" t="s">
        <v>163</v>
      </c>
    </row>
    <row r="1666" spans="1:6" ht="15" thickBot="1">
      <c r="A1666" s="31">
        <v>8078449</v>
      </c>
      <c r="B1666" s="32">
        <v>14000000</v>
      </c>
      <c r="C1666" s="33" t="s">
        <v>282</v>
      </c>
      <c r="D1666" s="33" t="s">
        <v>161</v>
      </c>
      <c r="E1666" s="33" t="s">
        <v>162</v>
      </c>
      <c r="F1666" s="33" t="s">
        <v>163</v>
      </c>
    </row>
    <row r="1667" spans="1:6" ht="15" thickBot="1">
      <c r="A1667" s="31">
        <v>8078703</v>
      </c>
      <c r="B1667" s="32">
        <v>8000000</v>
      </c>
      <c r="C1667" s="33" t="s">
        <v>471</v>
      </c>
      <c r="D1667" s="33" t="s">
        <v>165</v>
      </c>
      <c r="E1667" s="33" t="s">
        <v>166</v>
      </c>
      <c r="F1667" s="33" t="s">
        <v>163</v>
      </c>
    </row>
    <row r="1668" spans="1:6" ht="15" thickBot="1">
      <c r="A1668" s="31">
        <v>8080261</v>
      </c>
      <c r="B1668" s="32">
        <v>14000000</v>
      </c>
      <c r="C1668" s="33" t="s">
        <v>292</v>
      </c>
      <c r="D1668" s="33" t="s">
        <v>165</v>
      </c>
      <c r="E1668" s="33" t="s">
        <v>166</v>
      </c>
      <c r="F1668" s="33" t="s">
        <v>163</v>
      </c>
    </row>
    <row r="1669" spans="1:6" ht="15" thickBot="1">
      <c r="A1669" s="31">
        <v>8080373</v>
      </c>
      <c r="B1669" s="32">
        <v>350000</v>
      </c>
      <c r="C1669" s="33" t="s">
        <v>238</v>
      </c>
      <c r="D1669" s="33" t="s">
        <v>161</v>
      </c>
      <c r="E1669" s="33" t="s">
        <v>162</v>
      </c>
      <c r="F1669" s="33" t="s">
        <v>167</v>
      </c>
    </row>
    <row r="1670" spans="1:6" ht="15" thickBot="1">
      <c r="A1670" s="31">
        <v>8080805</v>
      </c>
      <c r="B1670" s="32">
        <v>400000</v>
      </c>
      <c r="C1670" s="33" t="s">
        <v>263</v>
      </c>
      <c r="D1670" s="33" t="s">
        <v>161</v>
      </c>
      <c r="E1670" s="33" t="s">
        <v>162</v>
      </c>
      <c r="F1670" s="33" t="s">
        <v>167</v>
      </c>
    </row>
    <row r="1671" spans="1:6" ht="15" thickBot="1">
      <c r="A1671" s="31">
        <v>8081100</v>
      </c>
      <c r="B1671" s="32">
        <v>26500000</v>
      </c>
      <c r="C1671" s="33" t="s">
        <v>472</v>
      </c>
      <c r="D1671" s="33" t="s">
        <v>174</v>
      </c>
      <c r="E1671" s="33" t="s">
        <v>166</v>
      </c>
      <c r="F1671" s="33" t="s">
        <v>163</v>
      </c>
    </row>
    <row r="1672" spans="1:6" ht="15" thickBot="1">
      <c r="A1672" s="31">
        <v>8081133</v>
      </c>
      <c r="B1672" s="32">
        <v>10000000</v>
      </c>
      <c r="C1672" s="33" t="s">
        <v>472</v>
      </c>
      <c r="D1672" s="33" t="s">
        <v>174</v>
      </c>
      <c r="E1672" s="33" t="s">
        <v>166</v>
      </c>
      <c r="F1672" s="33" t="s">
        <v>163</v>
      </c>
    </row>
    <row r="1673" spans="1:6" ht="15" thickBot="1">
      <c r="A1673" s="31">
        <v>8081426</v>
      </c>
      <c r="B1673" s="32">
        <v>21000000</v>
      </c>
      <c r="C1673" s="33" t="s">
        <v>473</v>
      </c>
      <c r="D1673" s="33" t="s">
        <v>161</v>
      </c>
      <c r="E1673" s="33" t="s">
        <v>162</v>
      </c>
      <c r="F1673" s="33" t="s">
        <v>163</v>
      </c>
    </row>
    <row r="1674" spans="1:6" ht="15" thickBot="1">
      <c r="A1674" s="31">
        <v>8081669</v>
      </c>
      <c r="B1674" s="32">
        <v>100000</v>
      </c>
      <c r="C1674" s="33" t="s">
        <v>171</v>
      </c>
      <c r="D1674" s="33" t="s">
        <v>161</v>
      </c>
      <c r="E1674" s="33" t="s">
        <v>162</v>
      </c>
      <c r="F1674" s="33" t="s">
        <v>167</v>
      </c>
    </row>
    <row r="1675" spans="1:6" ht="15" thickBot="1">
      <c r="A1675" s="31">
        <v>8081949</v>
      </c>
      <c r="B1675" s="32">
        <v>13000000</v>
      </c>
      <c r="C1675" s="33" t="s">
        <v>215</v>
      </c>
      <c r="D1675" s="33" t="s">
        <v>169</v>
      </c>
      <c r="E1675" s="34" t="s">
        <v>170</v>
      </c>
      <c r="F1675" s="33" t="s">
        <v>163</v>
      </c>
    </row>
    <row r="1676" spans="1:6" ht="15" thickBot="1">
      <c r="A1676" s="31">
        <v>8082137</v>
      </c>
      <c r="B1676" s="32">
        <v>54000</v>
      </c>
      <c r="C1676" s="33" t="s">
        <v>225</v>
      </c>
      <c r="D1676" s="33" t="s">
        <v>165</v>
      </c>
      <c r="E1676" s="33" t="s">
        <v>166</v>
      </c>
      <c r="F1676" s="33" t="s">
        <v>167</v>
      </c>
    </row>
    <row r="1677" spans="1:6" ht="15" thickBot="1">
      <c r="A1677" s="31">
        <v>8082403</v>
      </c>
      <c r="B1677" s="32">
        <v>15000000</v>
      </c>
      <c r="C1677" s="33" t="s">
        <v>474</v>
      </c>
      <c r="D1677" s="33" t="s">
        <v>174</v>
      </c>
      <c r="E1677" s="33" t="s">
        <v>166</v>
      </c>
      <c r="F1677" s="33" t="s">
        <v>163</v>
      </c>
    </row>
    <row r="1678" spans="1:6" ht="15" thickBot="1">
      <c r="A1678" s="31">
        <v>8082447</v>
      </c>
      <c r="B1678" s="32">
        <v>4500000</v>
      </c>
      <c r="C1678" s="33" t="s">
        <v>205</v>
      </c>
      <c r="D1678" s="33" t="s">
        <v>161</v>
      </c>
      <c r="E1678" s="33" t="s">
        <v>162</v>
      </c>
      <c r="F1678" s="33" t="s">
        <v>163</v>
      </c>
    </row>
    <row r="1679" spans="1:6" ht="15" thickBot="1">
      <c r="A1679" s="31">
        <v>8082530</v>
      </c>
      <c r="B1679" s="32">
        <v>7500000</v>
      </c>
      <c r="C1679" s="33" t="s">
        <v>232</v>
      </c>
      <c r="D1679" s="33" t="s">
        <v>169</v>
      </c>
      <c r="E1679" s="34" t="s">
        <v>170</v>
      </c>
      <c r="F1679" s="33" t="s">
        <v>163</v>
      </c>
    </row>
    <row r="1680" spans="1:6" ht="15" thickBot="1">
      <c r="A1680" s="31">
        <v>8082964</v>
      </c>
      <c r="B1680" s="32">
        <v>27500000</v>
      </c>
      <c r="C1680" s="33" t="s">
        <v>184</v>
      </c>
      <c r="D1680" s="33" t="s">
        <v>161</v>
      </c>
      <c r="E1680" s="33" t="s">
        <v>162</v>
      </c>
      <c r="F1680" s="33" t="s">
        <v>163</v>
      </c>
    </row>
    <row r="1681" spans="1:6" ht="15" thickBot="1">
      <c r="A1681" s="31">
        <v>8083037</v>
      </c>
      <c r="B1681" s="32">
        <v>3300000</v>
      </c>
      <c r="C1681" s="33" t="s">
        <v>279</v>
      </c>
      <c r="D1681" s="33" t="s">
        <v>161</v>
      </c>
      <c r="E1681" s="33" t="s">
        <v>162</v>
      </c>
      <c r="F1681" s="33" t="s">
        <v>163</v>
      </c>
    </row>
    <row r="1682" spans="1:6" ht="15" thickBot="1">
      <c r="A1682" s="31">
        <v>8083141</v>
      </c>
      <c r="B1682" s="32">
        <v>90000000</v>
      </c>
      <c r="C1682" s="33" t="s">
        <v>475</v>
      </c>
      <c r="D1682" s="33" t="s">
        <v>169</v>
      </c>
      <c r="E1682" s="34" t="s">
        <v>170</v>
      </c>
      <c r="F1682" s="33" t="s">
        <v>163</v>
      </c>
    </row>
    <row r="1683" spans="1:6" ht="15" thickBot="1">
      <c r="A1683" s="31">
        <v>8084878</v>
      </c>
      <c r="B1683" s="32">
        <v>10000</v>
      </c>
      <c r="C1683" s="33" t="s">
        <v>476</v>
      </c>
      <c r="D1683" s="33" t="s">
        <v>161</v>
      </c>
      <c r="E1683" s="33" t="s">
        <v>162</v>
      </c>
      <c r="F1683" s="33" t="s">
        <v>167</v>
      </c>
    </row>
    <row r="1684" spans="1:6" ht="15" thickBot="1">
      <c r="A1684" s="31">
        <v>8085581</v>
      </c>
      <c r="B1684" s="32">
        <v>170000000</v>
      </c>
      <c r="C1684" s="33" t="s">
        <v>191</v>
      </c>
      <c r="D1684" s="33" t="s">
        <v>169</v>
      </c>
      <c r="E1684" s="34" t="s">
        <v>170</v>
      </c>
      <c r="F1684" s="33" t="s">
        <v>163</v>
      </c>
    </row>
    <row r="1685" spans="1:6" ht="15" thickBot="1">
      <c r="A1685" s="31">
        <v>8088871</v>
      </c>
      <c r="B1685" s="32">
        <v>5000000</v>
      </c>
      <c r="C1685" s="33" t="s">
        <v>477</v>
      </c>
      <c r="D1685" s="33" t="s">
        <v>169</v>
      </c>
      <c r="E1685" s="34" t="s">
        <v>170</v>
      </c>
      <c r="F1685" s="33" t="s">
        <v>163</v>
      </c>
    </row>
    <row r="1686" spans="1:6" ht="15" thickBot="1">
      <c r="A1686" s="31">
        <v>8089024</v>
      </c>
      <c r="B1686" s="32">
        <v>15000000</v>
      </c>
      <c r="C1686" s="33" t="s">
        <v>180</v>
      </c>
      <c r="D1686" s="33" t="s">
        <v>165</v>
      </c>
      <c r="E1686" s="33" t="s">
        <v>166</v>
      </c>
      <c r="F1686" s="33" t="s">
        <v>163</v>
      </c>
    </row>
    <row r="1687" spans="1:6" ht="15" thickBot="1">
      <c r="A1687" s="31">
        <v>8089129</v>
      </c>
      <c r="B1687" s="32">
        <v>15000000</v>
      </c>
      <c r="C1687" s="33" t="s">
        <v>478</v>
      </c>
      <c r="D1687" s="33" t="s">
        <v>174</v>
      </c>
      <c r="E1687" s="33" t="s">
        <v>166</v>
      </c>
      <c r="F1687" s="33" t="s">
        <v>163</v>
      </c>
    </row>
    <row r="1688" spans="1:6" ht="15" thickBot="1">
      <c r="A1688" s="31">
        <v>8089211</v>
      </c>
      <c r="B1688" s="32">
        <v>12000</v>
      </c>
      <c r="C1688" s="33" t="s">
        <v>479</v>
      </c>
      <c r="D1688" s="33" t="s">
        <v>200</v>
      </c>
      <c r="E1688" s="33" t="s">
        <v>166</v>
      </c>
      <c r="F1688" s="33" t="s">
        <v>167</v>
      </c>
    </row>
    <row r="1689" spans="1:6" ht="15" thickBot="1">
      <c r="A1689" s="31">
        <v>8089265</v>
      </c>
      <c r="B1689" s="32">
        <v>10000</v>
      </c>
      <c r="C1689" s="33" t="s">
        <v>459</v>
      </c>
      <c r="D1689" s="33" t="s">
        <v>200</v>
      </c>
      <c r="E1689" s="33" t="s">
        <v>166</v>
      </c>
      <c r="F1689" s="33" t="s">
        <v>167</v>
      </c>
    </row>
    <row r="1690" spans="1:6" ht="15" thickBot="1">
      <c r="A1690" s="31">
        <v>8089314</v>
      </c>
      <c r="B1690" s="32">
        <v>14200000</v>
      </c>
      <c r="C1690" s="33" t="s">
        <v>477</v>
      </c>
      <c r="D1690" s="33" t="s">
        <v>169</v>
      </c>
      <c r="E1690" s="34" t="s">
        <v>170</v>
      </c>
      <c r="F1690" s="33" t="s">
        <v>163</v>
      </c>
    </row>
    <row r="1691" spans="1:6" ht="15" thickBot="1">
      <c r="A1691" s="31">
        <v>8089340</v>
      </c>
      <c r="B1691" s="32">
        <v>13000</v>
      </c>
      <c r="C1691" s="33" t="s">
        <v>459</v>
      </c>
      <c r="D1691" s="33" t="s">
        <v>200</v>
      </c>
      <c r="E1691" s="33" t="s">
        <v>166</v>
      </c>
      <c r="F1691" s="33" t="s">
        <v>167</v>
      </c>
    </row>
    <row r="1692" spans="1:6" ht="15" thickBot="1">
      <c r="A1692" s="31">
        <v>8089501</v>
      </c>
      <c r="B1692" s="32">
        <v>16500000</v>
      </c>
      <c r="C1692" s="33" t="s">
        <v>180</v>
      </c>
      <c r="D1692" s="33" t="s">
        <v>165</v>
      </c>
      <c r="E1692" s="33" t="s">
        <v>166</v>
      </c>
      <c r="F1692" s="33" t="s">
        <v>163</v>
      </c>
    </row>
    <row r="1693" spans="1:6" ht="15" thickBot="1">
      <c r="A1693" s="31">
        <v>8089734</v>
      </c>
      <c r="B1693" s="32">
        <v>15000</v>
      </c>
      <c r="C1693" s="33" t="s">
        <v>459</v>
      </c>
      <c r="D1693" s="33" t="s">
        <v>200</v>
      </c>
      <c r="E1693" s="33" t="s">
        <v>166</v>
      </c>
      <c r="F1693" s="33" t="s">
        <v>167</v>
      </c>
    </row>
    <row r="1694" spans="1:6" ht="15" thickBot="1">
      <c r="A1694" s="31">
        <v>8089814</v>
      </c>
      <c r="B1694" s="32">
        <v>3500000</v>
      </c>
      <c r="C1694" s="33" t="s">
        <v>240</v>
      </c>
      <c r="D1694" s="33" t="s">
        <v>200</v>
      </c>
      <c r="E1694" s="33" t="s">
        <v>166</v>
      </c>
      <c r="F1694" s="33" t="s">
        <v>163</v>
      </c>
    </row>
    <row r="1695" spans="1:6" ht="15" thickBot="1">
      <c r="A1695" s="31">
        <v>8090804</v>
      </c>
      <c r="B1695" s="32">
        <v>20500000</v>
      </c>
      <c r="C1695" s="33" t="s">
        <v>204</v>
      </c>
      <c r="D1695" s="33" t="s">
        <v>174</v>
      </c>
      <c r="E1695" s="33" t="s">
        <v>166</v>
      </c>
      <c r="F1695" s="33" t="s">
        <v>163</v>
      </c>
    </row>
    <row r="1696" spans="1:6" ht="15" thickBot="1">
      <c r="A1696" s="31">
        <v>8090929</v>
      </c>
      <c r="B1696" s="32">
        <v>130000000</v>
      </c>
      <c r="C1696" s="33" t="s">
        <v>177</v>
      </c>
      <c r="D1696" s="33" t="s">
        <v>161</v>
      </c>
      <c r="E1696" s="33" t="s">
        <v>162</v>
      </c>
      <c r="F1696" s="33" t="s">
        <v>163</v>
      </c>
    </row>
    <row r="1697" spans="1:6" ht="15" thickBot="1">
      <c r="A1697" s="31">
        <v>8091005</v>
      </c>
      <c r="B1697" s="32">
        <v>250000</v>
      </c>
      <c r="C1697" s="33" t="s">
        <v>480</v>
      </c>
      <c r="D1697" s="33" t="s">
        <v>161</v>
      </c>
      <c r="E1697" s="33" t="s">
        <v>162</v>
      </c>
      <c r="F1697" s="33" t="s">
        <v>167</v>
      </c>
    </row>
    <row r="1698" spans="1:6" ht="15" thickBot="1">
      <c r="A1698" s="31">
        <v>8091026</v>
      </c>
      <c r="B1698" s="32">
        <v>13500000</v>
      </c>
      <c r="C1698" s="33" t="s">
        <v>190</v>
      </c>
      <c r="D1698" s="33" t="s">
        <v>169</v>
      </c>
      <c r="E1698" s="34" t="s">
        <v>170</v>
      </c>
      <c r="F1698" s="33" t="s">
        <v>163</v>
      </c>
    </row>
    <row r="1699" spans="1:6" ht="29" thickBot="1">
      <c r="A1699" s="31">
        <v>8091062</v>
      </c>
      <c r="B1699" s="32">
        <v>8000000</v>
      </c>
      <c r="C1699" s="33" t="s">
        <v>387</v>
      </c>
      <c r="D1699" s="33" t="s">
        <v>174</v>
      </c>
      <c r="E1699" s="33" t="s">
        <v>166</v>
      </c>
      <c r="F1699" s="33" t="s">
        <v>163</v>
      </c>
    </row>
    <row r="1700" spans="1:6" ht="15" thickBot="1">
      <c r="A1700" s="31">
        <v>8091337</v>
      </c>
      <c r="B1700" s="32">
        <v>3500000</v>
      </c>
      <c r="C1700" s="33" t="s">
        <v>481</v>
      </c>
      <c r="D1700" s="33" t="s">
        <v>174</v>
      </c>
      <c r="E1700" s="33" t="s">
        <v>166</v>
      </c>
      <c r="F1700" s="33" t="s">
        <v>163</v>
      </c>
    </row>
    <row r="1701" spans="1:6" ht="15" thickBot="1">
      <c r="A1701" s="31">
        <v>8091386</v>
      </c>
      <c r="B1701" s="32">
        <v>25000</v>
      </c>
      <c r="C1701" s="33" t="s">
        <v>235</v>
      </c>
      <c r="D1701" s="33" t="s">
        <v>161</v>
      </c>
      <c r="E1701" s="33" t="s">
        <v>162</v>
      </c>
      <c r="F1701" s="33" t="s">
        <v>167</v>
      </c>
    </row>
    <row r="1702" spans="1:6" ht="15" thickBot="1">
      <c r="A1702" s="31">
        <v>8091596</v>
      </c>
      <c r="B1702" s="32">
        <v>450000</v>
      </c>
      <c r="C1702" s="33" t="s">
        <v>262</v>
      </c>
      <c r="D1702" s="33" t="s">
        <v>169</v>
      </c>
      <c r="E1702" s="34" t="s">
        <v>170</v>
      </c>
      <c r="F1702" s="33" t="s">
        <v>167</v>
      </c>
    </row>
    <row r="1703" spans="1:6" ht="29" thickBot="1">
      <c r="A1703" s="31">
        <v>8091604</v>
      </c>
      <c r="B1703" s="32">
        <v>190000</v>
      </c>
      <c r="C1703" s="33" t="s">
        <v>349</v>
      </c>
      <c r="D1703" s="33" t="s">
        <v>169</v>
      </c>
      <c r="E1703" s="34" t="s">
        <v>170</v>
      </c>
      <c r="F1703" s="33" t="s">
        <v>167</v>
      </c>
    </row>
    <row r="1704" spans="1:6" ht="29" thickBot="1">
      <c r="A1704" s="31">
        <v>8091654</v>
      </c>
      <c r="B1704" s="32">
        <v>190000</v>
      </c>
      <c r="C1704" s="33" t="s">
        <v>349</v>
      </c>
      <c r="D1704" s="33" t="s">
        <v>169</v>
      </c>
      <c r="E1704" s="34" t="s">
        <v>170</v>
      </c>
      <c r="F1704" s="33" t="s">
        <v>167</v>
      </c>
    </row>
    <row r="1705" spans="1:6" ht="15" thickBot="1">
      <c r="A1705" s="31">
        <v>8091668</v>
      </c>
      <c r="B1705" s="32">
        <v>27000000</v>
      </c>
      <c r="C1705" s="33" t="s">
        <v>482</v>
      </c>
      <c r="D1705" s="33" t="s">
        <v>174</v>
      </c>
      <c r="E1705" s="33" t="s">
        <v>166</v>
      </c>
      <c r="F1705" s="33" t="s">
        <v>163</v>
      </c>
    </row>
    <row r="1706" spans="1:6" ht="15" thickBot="1">
      <c r="A1706" s="31">
        <v>8092066</v>
      </c>
      <c r="B1706" s="32">
        <v>7000000</v>
      </c>
      <c r="C1706" s="33" t="s">
        <v>483</v>
      </c>
      <c r="D1706" s="33" t="s">
        <v>200</v>
      </c>
      <c r="E1706" s="33" t="s">
        <v>166</v>
      </c>
      <c r="F1706" s="33" t="s">
        <v>163</v>
      </c>
    </row>
    <row r="1707" spans="1:6" ht="15" thickBot="1">
      <c r="A1707" s="31">
        <v>8092090</v>
      </c>
      <c r="B1707" s="32">
        <v>18000000</v>
      </c>
      <c r="C1707" s="33" t="s">
        <v>284</v>
      </c>
      <c r="D1707" s="33" t="s">
        <v>174</v>
      </c>
      <c r="E1707" s="33" t="s">
        <v>166</v>
      </c>
      <c r="F1707" s="33" t="s">
        <v>163</v>
      </c>
    </row>
    <row r="1708" spans="1:6" ht="15" thickBot="1">
      <c r="A1708" s="31">
        <v>8092149</v>
      </c>
      <c r="B1708" s="32">
        <v>140000</v>
      </c>
      <c r="C1708" s="33" t="s">
        <v>274</v>
      </c>
      <c r="D1708" s="33" t="s">
        <v>169</v>
      </c>
      <c r="E1708" s="34" t="s">
        <v>170</v>
      </c>
      <c r="F1708" s="33" t="s">
        <v>167</v>
      </c>
    </row>
    <row r="1709" spans="1:6" ht="15" thickBot="1">
      <c r="A1709" s="31">
        <v>8092154</v>
      </c>
      <c r="B1709" s="32">
        <v>18000</v>
      </c>
      <c r="C1709" s="33" t="s">
        <v>462</v>
      </c>
      <c r="D1709" s="33" t="s">
        <v>161</v>
      </c>
      <c r="E1709" s="33" t="s">
        <v>162</v>
      </c>
      <c r="F1709" s="33" t="s">
        <v>167</v>
      </c>
    </row>
    <row r="1710" spans="1:6" ht="15" thickBot="1">
      <c r="A1710" s="31">
        <v>8092158</v>
      </c>
      <c r="B1710" s="32">
        <v>220000</v>
      </c>
      <c r="C1710" s="33" t="s">
        <v>274</v>
      </c>
      <c r="D1710" s="33" t="s">
        <v>169</v>
      </c>
      <c r="E1710" s="34" t="s">
        <v>170</v>
      </c>
      <c r="F1710" s="33" t="s">
        <v>167</v>
      </c>
    </row>
    <row r="1711" spans="1:6" ht="15" thickBot="1">
      <c r="A1711" s="31">
        <v>8092591</v>
      </c>
      <c r="B1711" s="32">
        <v>3400000</v>
      </c>
      <c r="C1711" s="33" t="s">
        <v>484</v>
      </c>
      <c r="D1711" s="33" t="s">
        <v>174</v>
      </c>
      <c r="E1711" s="33" t="s">
        <v>166</v>
      </c>
      <c r="F1711" s="33" t="s">
        <v>163</v>
      </c>
    </row>
    <row r="1712" spans="1:6" ht="15" thickBot="1">
      <c r="A1712" s="31">
        <v>8092993</v>
      </c>
      <c r="B1712" s="32">
        <v>7900000</v>
      </c>
      <c r="C1712" s="33" t="s">
        <v>187</v>
      </c>
      <c r="D1712" s="33" t="s">
        <v>161</v>
      </c>
      <c r="E1712" s="33" t="s">
        <v>162</v>
      </c>
      <c r="F1712" s="33" t="s">
        <v>163</v>
      </c>
    </row>
    <row r="1713" spans="1:6" ht="15" thickBot="1">
      <c r="A1713" s="31">
        <v>8093774</v>
      </c>
      <c r="B1713" s="32">
        <v>9000000</v>
      </c>
      <c r="C1713" s="33" t="s">
        <v>485</v>
      </c>
      <c r="D1713" s="33" t="s">
        <v>200</v>
      </c>
      <c r="E1713" s="33" t="s">
        <v>166</v>
      </c>
      <c r="F1713" s="33" t="s">
        <v>163</v>
      </c>
    </row>
    <row r="1714" spans="1:6" ht="15" thickBot="1">
      <c r="A1714" s="31">
        <v>8094767</v>
      </c>
      <c r="B1714" s="32">
        <v>200000000</v>
      </c>
      <c r="C1714" s="33" t="s">
        <v>447</v>
      </c>
      <c r="D1714" s="33" t="s">
        <v>165</v>
      </c>
      <c r="E1714" s="33" t="s">
        <v>166</v>
      </c>
      <c r="F1714" s="33" t="s">
        <v>163</v>
      </c>
    </row>
    <row r="1715" spans="1:6" ht="15" thickBot="1">
      <c r="A1715" s="31">
        <v>8096470</v>
      </c>
      <c r="B1715" s="32">
        <v>160000000</v>
      </c>
      <c r="C1715" s="33" t="s">
        <v>177</v>
      </c>
      <c r="D1715" s="33" t="s">
        <v>161</v>
      </c>
      <c r="E1715" s="33" t="s">
        <v>162</v>
      </c>
      <c r="F1715" s="33" t="s">
        <v>163</v>
      </c>
    </row>
    <row r="1716" spans="1:6" ht="15" thickBot="1">
      <c r="A1716" s="31">
        <v>8096512</v>
      </c>
      <c r="B1716" s="32">
        <v>19000000</v>
      </c>
      <c r="C1716" s="33" t="s">
        <v>353</v>
      </c>
      <c r="D1716" s="33" t="s">
        <v>174</v>
      </c>
      <c r="E1716" s="33" t="s">
        <v>166</v>
      </c>
      <c r="F1716" s="33" t="s">
        <v>163</v>
      </c>
    </row>
    <row r="1717" spans="1:6" ht="15" thickBot="1">
      <c r="A1717" s="31">
        <v>8096513</v>
      </c>
      <c r="B1717" s="32">
        <v>8500000</v>
      </c>
      <c r="C1717" s="33" t="s">
        <v>478</v>
      </c>
      <c r="D1717" s="33" t="s">
        <v>174</v>
      </c>
      <c r="E1717" s="33" t="s">
        <v>166</v>
      </c>
      <c r="F1717" s="33" t="s">
        <v>163</v>
      </c>
    </row>
    <row r="1718" spans="1:6" ht="15" thickBot="1">
      <c r="A1718" s="31">
        <v>8096690</v>
      </c>
      <c r="B1718" s="32">
        <v>58000</v>
      </c>
      <c r="C1718" s="33" t="s">
        <v>225</v>
      </c>
      <c r="D1718" s="33" t="s">
        <v>165</v>
      </c>
      <c r="E1718" s="33" t="s">
        <v>166</v>
      </c>
      <c r="F1718" s="33" t="s">
        <v>167</v>
      </c>
    </row>
    <row r="1719" spans="1:6" ht="15" thickBot="1">
      <c r="A1719" s="31">
        <v>8096794</v>
      </c>
      <c r="B1719" s="32">
        <v>16000000</v>
      </c>
      <c r="C1719" s="33" t="s">
        <v>177</v>
      </c>
      <c r="D1719" s="33" t="s">
        <v>161</v>
      </c>
      <c r="E1719" s="33" t="s">
        <v>162</v>
      </c>
      <c r="F1719" s="33" t="s">
        <v>163</v>
      </c>
    </row>
    <row r="1720" spans="1:6" ht="15" thickBot="1">
      <c r="A1720" s="31">
        <v>8096868</v>
      </c>
      <c r="B1720" s="32">
        <v>19000000</v>
      </c>
      <c r="C1720" s="33" t="s">
        <v>391</v>
      </c>
      <c r="D1720" s="33" t="s">
        <v>165</v>
      </c>
      <c r="E1720" s="33" t="s">
        <v>166</v>
      </c>
      <c r="F1720" s="33" t="s">
        <v>163</v>
      </c>
    </row>
    <row r="1721" spans="1:6" ht="15" thickBot="1">
      <c r="A1721" s="31">
        <v>8097099</v>
      </c>
      <c r="B1721" s="32">
        <v>15500000</v>
      </c>
      <c r="C1721" s="33" t="s">
        <v>267</v>
      </c>
      <c r="D1721" s="33" t="s">
        <v>165</v>
      </c>
      <c r="E1721" s="33" t="s">
        <v>166</v>
      </c>
      <c r="F1721" s="33" t="s">
        <v>163</v>
      </c>
    </row>
    <row r="1722" spans="1:6" ht="15" thickBot="1">
      <c r="A1722" s="31">
        <v>8097108</v>
      </c>
      <c r="B1722" s="32">
        <v>7700000</v>
      </c>
      <c r="C1722" s="33" t="s">
        <v>230</v>
      </c>
      <c r="D1722" s="33" t="s">
        <v>161</v>
      </c>
      <c r="E1722" s="33" t="s">
        <v>162</v>
      </c>
      <c r="F1722" s="33" t="s">
        <v>163</v>
      </c>
    </row>
    <row r="1723" spans="1:6" ht="15" thickBot="1">
      <c r="A1723" s="31">
        <v>8097567</v>
      </c>
      <c r="B1723" s="32">
        <v>50000</v>
      </c>
      <c r="C1723" s="33" t="s">
        <v>205</v>
      </c>
      <c r="D1723" s="33" t="s">
        <v>161</v>
      </c>
      <c r="E1723" s="33" t="s">
        <v>162</v>
      </c>
      <c r="F1723" s="33" t="s">
        <v>167</v>
      </c>
    </row>
    <row r="1724" spans="1:6" ht="15" thickBot="1">
      <c r="A1724" s="31">
        <v>8097618</v>
      </c>
      <c r="B1724" s="32">
        <v>31000000</v>
      </c>
      <c r="C1724" s="33" t="s">
        <v>211</v>
      </c>
      <c r="D1724" s="33" t="s">
        <v>161</v>
      </c>
      <c r="E1724" s="33" t="s">
        <v>162</v>
      </c>
      <c r="F1724" s="33" t="s">
        <v>163</v>
      </c>
    </row>
    <row r="1725" spans="1:6" ht="15" thickBot="1">
      <c r="A1725" s="31">
        <v>8097706</v>
      </c>
      <c r="B1725" s="32">
        <v>7000000</v>
      </c>
      <c r="C1725" s="33" t="s">
        <v>360</v>
      </c>
      <c r="D1725" s="33" t="s">
        <v>200</v>
      </c>
      <c r="E1725" s="33" t="s">
        <v>166</v>
      </c>
      <c r="F1725" s="33" t="s">
        <v>163</v>
      </c>
    </row>
    <row r="1726" spans="1:6" ht="15" thickBot="1">
      <c r="A1726" s="31">
        <v>8097725</v>
      </c>
      <c r="B1726" s="32">
        <v>2500000</v>
      </c>
      <c r="C1726" s="33" t="s">
        <v>486</v>
      </c>
      <c r="D1726" s="33" t="s">
        <v>174</v>
      </c>
      <c r="E1726" s="33" t="s">
        <v>166</v>
      </c>
      <c r="F1726" s="33" t="s">
        <v>163</v>
      </c>
    </row>
    <row r="1727" spans="1:6" ht="15" thickBot="1">
      <c r="A1727" s="31">
        <v>8097887</v>
      </c>
      <c r="B1727" s="32">
        <v>6000000</v>
      </c>
      <c r="C1727" s="33" t="s">
        <v>291</v>
      </c>
      <c r="D1727" s="33" t="s">
        <v>161</v>
      </c>
      <c r="E1727" s="33" t="s">
        <v>162</v>
      </c>
      <c r="F1727" s="33" t="s">
        <v>163</v>
      </c>
    </row>
    <row r="1728" spans="1:6" ht="15" thickBot="1">
      <c r="A1728" s="31">
        <v>8098159</v>
      </c>
      <c r="B1728" s="32">
        <v>3230000</v>
      </c>
      <c r="C1728" s="33" t="s">
        <v>278</v>
      </c>
      <c r="D1728" s="33" t="s">
        <v>161</v>
      </c>
      <c r="E1728" s="33" t="s">
        <v>162</v>
      </c>
      <c r="F1728" s="33" t="s">
        <v>163</v>
      </c>
    </row>
    <row r="1729" spans="1:6" ht="15" thickBot="1">
      <c r="A1729" s="31">
        <v>8100030</v>
      </c>
      <c r="B1729" s="32">
        <v>20000000</v>
      </c>
      <c r="C1729" s="33" t="s">
        <v>321</v>
      </c>
      <c r="D1729" s="33" t="s">
        <v>165</v>
      </c>
      <c r="E1729" s="33" t="s">
        <v>166</v>
      </c>
      <c r="F1729" s="33" t="s">
        <v>163</v>
      </c>
    </row>
    <row r="1730" spans="1:6" ht="15" thickBot="1">
      <c r="A1730" s="31">
        <v>8101020</v>
      </c>
      <c r="B1730" s="32">
        <v>12500000</v>
      </c>
      <c r="C1730" s="33" t="s">
        <v>180</v>
      </c>
      <c r="D1730" s="33" t="s">
        <v>165</v>
      </c>
      <c r="E1730" s="33" t="s">
        <v>166</v>
      </c>
      <c r="F1730" s="33" t="s">
        <v>163</v>
      </c>
    </row>
    <row r="1731" spans="1:6" ht="15" thickBot="1">
      <c r="A1731" s="31">
        <v>8101078</v>
      </c>
      <c r="B1731" s="32">
        <v>58000</v>
      </c>
      <c r="C1731" s="33" t="s">
        <v>225</v>
      </c>
      <c r="D1731" s="33" t="s">
        <v>165</v>
      </c>
      <c r="E1731" s="33" t="s">
        <v>166</v>
      </c>
      <c r="F1731" s="33" t="s">
        <v>167</v>
      </c>
    </row>
    <row r="1732" spans="1:6" ht="15" thickBot="1">
      <c r="A1732" s="31">
        <v>8101426</v>
      </c>
      <c r="B1732" s="32">
        <v>54000</v>
      </c>
      <c r="C1732" s="33" t="s">
        <v>225</v>
      </c>
      <c r="D1732" s="33" t="s">
        <v>165</v>
      </c>
      <c r="E1732" s="33" t="s">
        <v>166</v>
      </c>
      <c r="F1732" s="33" t="s">
        <v>167</v>
      </c>
    </row>
    <row r="1733" spans="1:6" ht="15" thickBot="1">
      <c r="A1733" s="31">
        <v>8102096</v>
      </c>
      <c r="B1733" s="32">
        <v>65000</v>
      </c>
      <c r="C1733" s="33" t="s">
        <v>226</v>
      </c>
      <c r="D1733" s="33" t="s">
        <v>165</v>
      </c>
      <c r="E1733" s="33" t="s">
        <v>166</v>
      </c>
      <c r="F1733" s="33" t="s">
        <v>167</v>
      </c>
    </row>
    <row r="1734" spans="1:6" ht="15" thickBot="1">
      <c r="A1734" s="31">
        <v>8102139</v>
      </c>
      <c r="B1734" s="32">
        <v>4500000</v>
      </c>
      <c r="C1734" s="33" t="s">
        <v>171</v>
      </c>
      <c r="D1734" s="33" t="s">
        <v>161</v>
      </c>
      <c r="E1734" s="33" t="s">
        <v>162</v>
      </c>
      <c r="F1734" s="33" t="s">
        <v>163</v>
      </c>
    </row>
    <row r="1735" spans="1:6" ht="15" thickBot="1">
      <c r="A1735" s="31">
        <v>8102180</v>
      </c>
      <c r="B1735" s="32">
        <v>5000000</v>
      </c>
      <c r="C1735" s="33" t="s">
        <v>487</v>
      </c>
      <c r="D1735" s="33" t="s">
        <v>200</v>
      </c>
      <c r="E1735" s="33" t="s">
        <v>166</v>
      </c>
      <c r="F1735" s="33" t="s">
        <v>163</v>
      </c>
    </row>
    <row r="1736" spans="1:6" ht="15" thickBot="1">
      <c r="A1736" s="31">
        <v>8103936</v>
      </c>
      <c r="B1736" s="32">
        <v>72500000</v>
      </c>
      <c r="C1736" s="33" t="s">
        <v>251</v>
      </c>
      <c r="D1736" s="33" t="s">
        <v>174</v>
      </c>
      <c r="E1736" s="33" t="s">
        <v>166</v>
      </c>
      <c r="F1736" s="33" t="s">
        <v>163</v>
      </c>
    </row>
    <row r="1737" spans="1:6" ht="15" thickBot="1">
      <c r="A1737" s="31">
        <v>8106092</v>
      </c>
      <c r="B1737" s="32">
        <v>19700000</v>
      </c>
      <c r="C1737" s="33" t="s">
        <v>477</v>
      </c>
      <c r="D1737" s="33" t="s">
        <v>169</v>
      </c>
      <c r="E1737" s="34" t="s">
        <v>170</v>
      </c>
      <c r="F1737" s="33" t="s">
        <v>163</v>
      </c>
    </row>
    <row r="1738" spans="1:6" ht="15" thickBot="1">
      <c r="A1738" s="31">
        <v>8106134</v>
      </c>
      <c r="B1738" s="32">
        <v>35000</v>
      </c>
      <c r="C1738" s="33" t="s">
        <v>184</v>
      </c>
      <c r="D1738" s="33" t="s">
        <v>161</v>
      </c>
      <c r="E1738" s="33" t="s">
        <v>162</v>
      </c>
      <c r="F1738" s="33" t="s">
        <v>167</v>
      </c>
    </row>
    <row r="1739" spans="1:6" ht="29" thickBot="1">
      <c r="A1739" s="31">
        <v>8106199</v>
      </c>
      <c r="B1739" s="32">
        <v>3230000</v>
      </c>
      <c r="C1739" s="33" t="s">
        <v>286</v>
      </c>
      <c r="D1739" s="33" t="s">
        <v>161</v>
      </c>
      <c r="E1739" s="33" t="s">
        <v>162</v>
      </c>
      <c r="F1739" s="33" t="s">
        <v>163</v>
      </c>
    </row>
    <row r="1740" spans="1:6" ht="15" thickBot="1">
      <c r="A1740" s="31">
        <v>8106203</v>
      </c>
      <c r="B1740" s="32">
        <v>25600000</v>
      </c>
      <c r="C1740" s="33" t="s">
        <v>477</v>
      </c>
      <c r="D1740" s="33" t="s">
        <v>169</v>
      </c>
      <c r="E1740" s="34" t="s">
        <v>170</v>
      </c>
      <c r="F1740" s="33" t="s">
        <v>163</v>
      </c>
    </row>
    <row r="1741" spans="1:6" ht="15" thickBot="1">
      <c r="A1741" s="31">
        <v>8106889</v>
      </c>
      <c r="B1741" s="32">
        <v>65000</v>
      </c>
      <c r="C1741" s="33" t="s">
        <v>205</v>
      </c>
      <c r="D1741" s="33" t="s">
        <v>161</v>
      </c>
      <c r="E1741" s="33" t="s">
        <v>162</v>
      </c>
      <c r="F1741" s="33" t="s">
        <v>167</v>
      </c>
    </row>
    <row r="1742" spans="1:6" ht="29" thickBot="1">
      <c r="A1742" s="31">
        <v>8107098</v>
      </c>
      <c r="B1742" s="32">
        <v>15000000</v>
      </c>
      <c r="C1742" s="33" t="s">
        <v>488</v>
      </c>
      <c r="D1742" s="33" t="s">
        <v>174</v>
      </c>
      <c r="E1742" s="33" t="s">
        <v>166</v>
      </c>
      <c r="F1742" s="33" t="s">
        <v>163</v>
      </c>
    </row>
    <row r="1743" spans="1:6" ht="15" thickBot="1">
      <c r="A1743" s="31">
        <v>8107181</v>
      </c>
      <c r="B1743" s="32">
        <v>9000000</v>
      </c>
      <c r="C1743" s="33" t="s">
        <v>489</v>
      </c>
      <c r="D1743" s="33" t="s">
        <v>200</v>
      </c>
      <c r="E1743" s="33" t="s">
        <v>166</v>
      </c>
      <c r="F1743" s="33" t="s">
        <v>163</v>
      </c>
    </row>
    <row r="1744" spans="1:6" ht="29" thickBot="1">
      <c r="A1744" s="31">
        <v>8107209</v>
      </c>
      <c r="B1744" s="32">
        <v>35000</v>
      </c>
      <c r="C1744" s="33" t="s">
        <v>490</v>
      </c>
      <c r="D1744" s="33" t="s">
        <v>161</v>
      </c>
      <c r="E1744" s="33" t="s">
        <v>162</v>
      </c>
      <c r="F1744" s="33" t="s">
        <v>167</v>
      </c>
    </row>
    <row r="1745" spans="1:6" ht="15" thickBot="1">
      <c r="A1745" s="31">
        <v>8108029</v>
      </c>
      <c r="B1745" s="32">
        <v>13000000</v>
      </c>
      <c r="C1745" s="33" t="s">
        <v>171</v>
      </c>
      <c r="D1745" s="33" t="s">
        <v>161</v>
      </c>
      <c r="E1745" s="33" t="s">
        <v>162</v>
      </c>
      <c r="F1745" s="33" t="s">
        <v>163</v>
      </c>
    </row>
    <row r="1746" spans="1:6" ht="15" thickBot="1">
      <c r="A1746" s="31">
        <v>8108337</v>
      </c>
      <c r="B1746" s="32">
        <v>3800000</v>
      </c>
      <c r="C1746" s="33" t="s">
        <v>341</v>
      </c>
      <c r="D1746" s="33" t="s">
        <v>174</v>
      </c>
      <c r="E1746" s="33" t="s">
        <v>166</v>
      </c>
      <c r="F1746" s="33" t="s">
        <v>163</v>
      </c>
    </row>
    <row r="1747" spans="1:6" ht="15" thickBot="1">
      <c r="A1747" s="31">
        <v>8108774</v>
      </c>
      <c r="B1747" s="32">
        <v>5500000</v>
      </c>
      <c r="C1747" s="33" t="s">
        <v>235</v>
      </c>
      <c r="D1747" s="33" t="s">
        <v>161</v>
      </c>
      <c r="E1747" s="33" t="s">
        <v>162</v>
      </c>
      <c r="F1747" s="33" t="s">
        <v>163</v>
      </c>
    </row>
    <row r="1748" spans="1:6" ht="15" thickBot="1">
      <c r="A1748" s="31">
        <v>8109038</v>
      </c>
      <c r="B1748" s="32">
        <v>2200000</v>
      </c>
      <c r="C1748" s="33" t="s">
        <v>464</v>
      </c>
      <c r="D1748" s="33" t="s">
        <v>174</v>
      </c>
      <c r="E1748" s="33" t="s">
        <v>166</v>
      </c>
      <c r="F1748" s="33" t="s">
        <v>163</v>
      </c>
    </row>
    <row r="1749" spans="1:6" ht="15" thickBot="1">
      <c r="A1749" s="31">
        <v>8109504</v>
      </c>
      <c r="B1749" s="32">
        <v>13000000</v>
      </c>
      <c r="C1749" s="33" t="s">
        <v>263</v>
      </c>
      <c r="D1749" s="33" t="s">
        <v>161</v>
      </c>
      <c r="E1749" s="33" t="s">
        <v>162</v>
      </c>
      <c r="F1749" s="33" t="s">
        <v>163</v>
      </c>
    </row>
    <row r="1750" spans="1:6" ht="15" thickBot="1">
      <c r="A1750" s="31">
        <v>8109682</v>
      </c>
      <c r="B1750" s="32">
        <v>65000000</v>
      </c>
      <c r="C1750" s="33" t="s">
        <v>404</v>
      </c>
      <c r="D1750" s="33" t="s">
        <v>174</v>
      </c>
      <c r="E1750" s="33" t="s">
        <v>166</v>
      </c>
      <c r="F1750" s="33" t="s">
        <v>163</v>
      </c>
    </row>
    <row r="1751" spans="1:6" ht="15" thickBot="1">
      <c r="A1751" s="31">
        <v>8109755</v>
      </c>
      <c r="B1751" s="32">
        <v>88000</v>
      </c>
      <c r="C1751" s="33" t="s">
        <v>196</v>
      </c>
      <c r="D1751" s="33" t="s">
        <v>161</v>
      </c>
      <c r="E1751" s="33" t="s">
        <v>162</v>
      </c>
      <c r="F1751" s="33" t="s">
        <v>167</v>
      </c>
    </row>
    <row r="1752" spans="1:6" ht="15" thickBot="1">
      <c r="A1752" s="31">
        <v>8109873</v>
      </c>
      <c r="B1752" s="32">
        <v>9000000</v>
      </c>
      <c r="C1752" s="33" t="s">
        <v>380</v>
      </c>
      <c r="D1752" s="33" t="s">
        <v>174</v>
      </c>
      <c r="E1752" s="33" t="s">
        <v>166</v>
      </c>
      <c r="F1752" s="33" t="s">
        <v>163</v>
      </c>
    </row>
    <row r="1753" spans="1:6" ht="15" thickBot="1">
      <c r="A1753" s="31">
        <v>8112835</v>
      </c>
      <c r="B1753" s="32">
        <v>25000000</v>
      </c>
      <c r="C1753" s="33" t="s">
        <v>491</v>
      </c>
      <c r="D1753" s="33" t="s">
        <v>200</v>
      </c>
      <c r="E1753" s="33" t="s">
        <v>166</v>
      </c>
      <c r="F1753" s="33" t="s">
        <v>163</v>
      </c>
    </row>
    <row r="1754" spans="1:6" ht="15" thickBot="1">
      <c r="A1754" s="31">
        <v>8118258</v>
      </c>
      <c r="B1754" s="32">
        <v>4300000</v>
      </c>
      <c r="C1754" s="33" t="s">
        <v>177</v>
      </c>
      <c r="D1754" s="33" t="s">
        <v>169</v>
      </c>
      <c r="E1754" s="34" t="s">
        <v>170</v>
      </c>
      <c r="F1754" s="33" t="s">
        <v>163</v>
      </c>
    </row>
    <row r="1755" spans="1:6" ht="29" thickBot="1">
      <c r="A1755" s="31">
        <v>8118289</v>
      </c>
      <c r="B1755" s="32">
        <v>14000000</v>
      </c>
      <c r="C1755" s="33" t="s">
        <v>192</v>
      </c>
      <c r="D1755" s="33" t="s">
        <v>174</v>
      </c>
      <c r="E1755" s="33" t="s">
        <v>166</v>
      </c>
      <c r="F1755" s="33" t="s">
        <v>163</v>
      </c>
    </row>
    <row r="1756" spans="1:6" ht="15" thickBot="1">
      <c r="A1756" s="31">
        <v>8119105</v>
      </c>
      <c r="B1756" s="32">
        <v>120000</v>
      </c>
      <c r="C1756" s="33" t="s">
        <v>274</v>
      </c>
      <c r="D1756" s="33" t="s">
        <v>169</v>
      </c>
      <c r="E1756" s="34" t="s">
        <v>170</v>
      </c>
      <c r="F1756" s="33" t="s">
        <v>167</v>
      </c>
    </row>
    <row r="1757" spans="1:6" ht="15" thickBot="1">
      <c r="A1757" s="31">
        <v>8120906</v>
      </c>
      <c r="B1757" s="32">
        <v>6500000</v>
      </c>
      <c r="C1757" s="33" t="s">
        <v>443</v>
      </c>
      <c r="D1757" s="33" t="s">
        <v>165</v>
      </c>
      <c r="E1757" s="33" t="s">
        <v>166</v>
      </c>
      <c r="F1757" s="33" t="s">
        <v>163</v>
      </c>
    </row>
    <row r="1758" spans="1:6" ht="15" thickBot="1">
      <c r="A1758" s="31">
        <v>8121131</v>
      </c>
      <c r="B1758" s="32">
        <v>7913000</v>
      </c>
      <c r="C1758" s="33" t="s">
        <v>182</v>
      </c>
      <c r="D1758" s="33" t="s">
        <v>174</v>
      </c>
      <c r="E1758" s="33" t="s">
        <v>166</v>
      </c>
      <c r="F1758" s="33" t="s">
        <v>163</v>
      </c>
    </row>
    <row r="1759" spans="1:6" ht="15" thickBot="1">
      <c r="A1759" s="31">
        <v>8121658</v>
      </c>
      <c r="B1759" s="32">
        <v>110000000</v>
      </c>
      <c r="C1759" s="33" t="s">
        <v>279</v>
      </c>
      <c r="D1759" s="33" t="s">
        <v>161</v>
      </c>
      <c r="E1759" s="33" t="s">
        <v>162</v>
      </c>
      <c r="F1759" s="33" t="s">
        <v>163</v>
      </c>
    </row>
    <row r="1760" spans="1:6" ht="15" thickBot="1">
      <c r="A1760" s="31">
        <v>8122637</v>
      </c>
      <c r="B1760" s="32">
        <v>50000</v>
      </c>
      <c r="C1760" s="33" t="s">
        <v>225</v>
      </c>
      <c r="D1760" s="33" t="s">
        <v>165</v>
      </c>
      <c r="E1760" s="33" t="s">
        <v>166</v>
      </c>
      <c r="F1760" s="33" t="s">
        <v>167</v>
      </c>
    </row>
    <row r="1761" spans="1:6" ht="15" thickBot="1">
      <c r="A1761" s="31">
        <v>8125208</v>
      </c>
      <c r="B1761" s="32">
        <v>4650000</v>
      </c>
      <c r="C1761" s="33" t="s">
        <v>479</v>
      </c>
      <c r="D1761" s="33" t="s">
        <v>200</v>
      </c>
      <c r="E1761" s="33" t="s">
        <v>166</v>
      </c>
      <c r="F1761" s="33" t="s">
        <v>163</v>
      </c>
    </row>
    <row r="1762" spans="1:6" ht="15" thickBot="1">
      <c r="A1762" s="31">
        <v>8126070</v>
      </c>
      <c r="B1762" s="32">
        <v>8500000</v>
      </c>
      <c r="C1762" s="33" t="s">
        <v>183</v>
      </c>
      <c r="D1762" s="33" t="s">
        <v>169</v>
      </c>
      <c r="E1762" s="34" t="s">
        <v>170</v>
      </c>
      <c r="F1762" s="33" t="s">
        <v>163</v>
      </c>
    </row>
    <row r="1763" spans="1:6" ht="15" thickBot="1">
      <c r="A1763" s="31">
        <v>8126100</v>
      </c>
      <c r="B1763" s="32">
        <v>44000000</v>
      </c>
      <c r="C1763" s="33" t="s">
        <v>182</v>
      </c>
      <c r="D1763" s="33" t="s">
        <v>174</v>
      </c>
      <c r="E1763" s="33" t="s">
        <v>166</v>
      </c>
      <c r="F1763" s="33" t="s">
        <v>163</v>
      </c>
    </row>
    <row r="1764" spans="1:6" ht="15" thickBot="1">
      <c r="A1764" s="31">
        <v>8127142</v>
      </c>
      <c r="B1764" s="32">
        <v>3200000</v>
      </c>
      <c r="C1764" s="33" t="s">
        <v>469</v>
      </c>
      <c r="D1764" s="33" t="s">
        <v>174</v>
      </c>
      <c r="E1764" s="33" t="s">
        <v>166</v>
      </c>
      <c r="F1764" s="33" t="s">
        <v>163</v>
      </c>
    </row>
    <row r="1765" spans="1:6" ht="15" thickBot="1">
      <c r="A1765" s="31">
        <v>8127367</v>
      </c>
      <c r="B1765" s="32">
        <v>11500000</v>
      </c>
      <c r="C1765" s="33" t="s">
        <v>215</v>
      </c>
      <c r="D1765" s="33" t="s">
        <v>169</v>
      </c>
      <c r="E1765" s="34" t="s">
        <v>170</v>
      </c>
      <c r="F1765" s="33" t="s">
        <v>163</v>
      </c>
    </row>
    <row r="1766" spans="1:6" ht="15" thickBot="1">
      <c r="A1766" s="31">
        <v>8127584</v>
      </c>
      <c r="B1766" s="32">
        <v>30000</v>
      </c>
      <c r="C1766" s="33" t="s">
        <v>391</v>
      </c>
      <c r="D1766" s="33" t="s">
        <v>165</v>
      </c>
      <c r="E1766" s="33" t="s">
        <v>166</v>
      </c>
      <c r="F1766" s="33" t="s">
        <v>167</v>
      </c>
    </row>
    <row r="1767" spans="1:6" ht="15" thickBot="1">
      <c r="A1767" s="31">
        <v>8128025</v>
      </c>
      <c r="B1767" s="32">
        <v>2400000</v>
      </c>
      <c r="C1767" s="33" t="s">
        <v>341</v>
      </c>
      <c r="D1767" s="33" t="s">
        <v>174</v>
      </c>
      <c r="E1767" s="33" t="s">
        <v>166</v>
      </c>
      <c r="F1767" s="33" t="s">
        <v>163</v>
      </c>
    </row>
    <row r="1768" spans="1:6" ht="15" thickBot="1">
      <c r="A1768" s="31">
        <v>8128150</v>
      </c>
      <c r="B1768" s="32">
        <v>100000</v>
      </c>
      <c r="C1768" s="33" t="s">
        <v>160</v>
      </c>
      <c r="D1768" s="33" t="s">
        <v>161</v>
      </c>
      <c r="E1768" s="33" t="s">
        <v>162</v>
      </c>
      <c r="F1768" s="33" t="s">
        <v>167</v>
      </c>
    </row>
    <row r="1769" spans="1:6" ht="15" thickBot="1">
      <c r="A1769" s="31">
        <v>8129003</v>
      </c>
      <c r="B1769" s="32">
        <v>45000000</v>
      </c>
      <c r="C1769" s="33" t="s">
        <v>180</v>
      </c>
      <c r="D1769" s="33" t="s">
        <v>165</v>
      </c>
      <c r="E1769" s="33" t="s">
        <v>166</v>
      </c>
      <c r="F1769" s="33" t="s">
        <v>163</v>
      </c>
    </row>
    <row r="1770" spans="1:6" ht="15" thickBot="1">
      <c r="A1770" s="31">
        <v>8129079</v>
      </c>
      <c r="B1770" s="32">
        <v>150000</v>
      </c>
      <c r="C1770" s="33" t="s">
        <v>180</v>
      </c>
      <c r="D1770" s="33" t="s">
        <v>165</v>
      </c>
      <c r="E1770" s="33" t="s">
        <v>166</v>
      </c>
      <c r="F1770" s="33" t="s">
        <v>167</v>
      </c>
    </row>
    <row r="1771" spans="1:6" ht="15" thickBot="1">
      <c r="A1771" s="31">
        <v>8129732</v>
      </c>
      <c r="B1771" s="32">
        <v>5000000</v>
      </c>
      <c r="C1771" s="33" t="s">
        <v>492</v>
      </c>
      <c r="D1771" s="33" t="s">
        <v>174</v>
      </c>
      <c r="E1771" s="33" t="s">
        <v>166</v>
      </c>
      <c r="F1771" s="33" t="s">
        <v>163</v>
      </c>
    </row>
    <row r="1772" spans="1:6" ht="15" thickBot="1">
      <c r="A1772" s="31">
        <v>8129751</v>
      </c>
      <c r="B1772" s="32">
        <v>57000</v>
      </c>
      <c r="C1772" s="33" t="s">
        <v>180</v>
      </c>
      <c r="D1772" s="33" t="s">
        <v>165</v>
      </c>
      <c r="E1772" s="33" t="s">
        <v>166</v>
      </c>
      <c r="F1772" s="33" t="s">
        <v>167</v>
      </c>
    </row>
    <row r="1773" spans="1:6" ht="15" thickBot="1">
      <c r="A1773" s="31">
        <v>8130450</v>
      </c>
      <c r="B1773" s="32">
        <v>45000</v>
      </c>
      <c r="C1773" s="33" t="s">
        <v>180</v>
      </c>
      <c r="D1773" s="33" t="s">
        <v>165</v>
      </c>
      <c r="E1773" s="33" t="s">
        <v>166</v>
      </c>
      <c r="F1773" s="33" t="s">
        <v>167</v>
      </c>
    </row>
    <row r="1774" spans="1:6" ht="15" thickBot="1">
      <c r="A1774" s="31">
        <v>8130479</v>
      </c>
      <c r="B1774" s="32">
        <v>350000000</v>
      </c>
      <c r="C1774" s="33" t="s">
        <v>274</v>
      </c>
      <c r="D1774" s="33" t="s">
        <v>169</v>
      </c>
      <c r="E1774" s="34" t="s">
        <v>170</v>
      </c>
      <c r="F1774" s="33" t="s">
        <v>163</v>
      </c>
    </row>
    <row r="1775" spans="1:6" ht="15" thickBot="1">
      <c r="A1775" s="31">
        <v>8130520</v>
      </c>
      <c r="B1775" s="32">
        <v>130000</v>
      </c>
      <c r="C1775" s="33" t="s">
        <v>180</v>
      </c>
      <c r="D1775" s="33" t="s">
        <v>165</v>
      </c>
      <c r="E1775" s="33" t="s">
        <v>166</v>
      </c>
      <c r="F1775" s="33" t="s">
        <v>167</v>
      </c>
    </row>
    <row r="1776" spans="1:6" ht="15" thickBot="1">
      <c r="A1776" s="31">
        <v>8132300</v>
      </c>
      <c r="B1776" s="32">
        <v>9500000</v>
      </c>
      <c r="C1776" s="33" t="s">
        <v>177</v>
      </c>
      <c r="D1776" s="33" t="s">
        <v>169</v>
      </c>
      <c r="E1776" s="34" t="s">
        <v>170</v>
      </c>
      <c r="F1776" s="33" t="s">
        <v>163</v>
      </c>
    </row>
    <row r="1777" spans="1:6" ht="29" thickBot="1">
      <c r="A1777" s="31">
        <v>8132431</v>
      </c>
      <c r="B1777" s="32">
        <v>6600000</v>
      </c>
      <c r="C1777" s="33" t="s">
        <v>493</v>
      </c>
      <c r="D1777" s="33" t="s">
        <v>174</v>
      </c>
      <c r="E1777" s="33" t="s">
        <v>166</v>
      </c>
      <c r="F1777" s="33" t="s">
        <v>163</v>
      </c>
    </row>
    <row r="1778" spans="1:6" ht="15" thickBot="1">
      <c r="A1778" s="31">
        <v>8135693</v>
      </c>
      <c r="B1778" s="32">
        <v>2700000</v>
      </c>
      <c r="C1778" s="33" t="s">
        <v>379</v>
      </c>
      <c r="D1778" s="33" t="s">
        <v>174</v>
      </c>
      <c r="E1778" s="33" t="s">
        <v>166</v>
      </c>
      <c r="F1778" s="33" t="s">
        <v>163</v>
      </c>
    </row>
    <row r="1779" spans="1:6" ht="15" thickBot="1">
      <c r="A1779" s="31">
        <v>8135998</v>
      </c>
      <c r="B1779" s="32">
        <v>350000000</v>
      </c>
      <c r="C1779" s="33" t="s">
        <v>203</v>
      </c>
      <c r="D1779" s="33" t="s">
        <v>169</v>
      </c>
      <c r="E1779" s="34" t="s">
        <v>170</v>
      </c>
      <c r="F1779" s="33" t="s">
        <v>163</v>
      </c>
    </row>
    <row r="1780" spans="1:6" ht="15" thickBot="1">
      <c r="A1780" s="31">
        <v>8137201</v>
      </c>
      <c r="B1780" s="32">
        <v>9500000</v>
      </c>
      <c r="C1780" s="33" t="s">
        <v>494</v>
      </c>
      <c r="D1780" s="33" t="s">
        <v>174</v>
      </c>
      <c r="E1780" s="33" t="s">
        <v>166</v>
      </c>
      <c r="F1780" s="33" t="s">
        <v>163</v>
      </c>
    </row>
    <row r="1781" spans="1:6" ht="15" thickBot="1">
      <c r="A1781" s="31">
        <v>8137800</v>
      </c>
      <c r="B1781" s="32">
        <v>13000000</v>
      </c>
      <c r="C1781" s="33" t="s">
        <v>495</v>
      </c>
      <c r="D1781" s="33" t="s">
        <v>200</v>
      </c>
      <c r="E1781" s="33" t="s">
        <v>166</v>
      </c>
      <c r="F1781" s="33" t="s">
        <v>163</v>
      </c>
    </row>
    <row r="1782" spans="1:6" ht="15" thickBot="1">
      <c r="A1782" s="31">
        <v>8137803</v>
      </c>
      <c r="B1782" s="32">
        <v>10000000</v>
      </c>
      <c r="C1782" s="33" t="s">
        <v>492</v>
      </c>
      <c r="D1782" s="33" t="s">
        <v>174</v>
      </c>
      <c r="E1782" s="33" t="s">
        <v>166</v>
      </c>
      <c r="F1782" s="33" t="s">
        <v>163</v>
      </c>
    </row>
    <row r="1783" spans="1:6" ht="15" thickBot="1">
      <c r="A1783" s="31">
        <v>8141977</v>
      </c>
      <c r="B1783" s="32">
        <v>4500000</v>
      </c>
      <c r="C1783" s="33" t="s">
        <v>171</v>
      </c>
      <c r="D1783" s="33" t="s">
        <v>161</v>
      </c>
      <c r="E1783" s="33" t="s">
        <v>162</v>
      </c>
      <c r="F1783" s="33" t="s">
        <v>163</v>
      </c>
    </row>
    <row r="1784" spans="1:6" ht="15" thickBot="1">
      <c r="A1784" s="31">
        <v>8144273</v>
      </c>
      <c r="B1784" s="32">
        <v>7200000</v>
      </c>
      <c r="C1784" s="33" t="s">
        <v>247</v>
      </c>
      <c r="D1784" s="33" t="s">
        <v>161</v>
      </c>
      <c r="E1784" s="33" t="s">
        <v>162</v>
      </c>
      <c r="F1784" s="33" t="s">
        <v>163</v>
      </c>
    </row>
    <row r="1785" spans="1:6" ht="15" thickBot="1">
      <c r="A1785" s="31">
        <v>8144625</v>
      </c>
      <c r="B1785" s="32">
        <v>42500000</v>
      </c>
      <c r="C1785" s="33" t="s">
        <v>204</v>
      </c>
      <c r="D1785" s="33" t="s">
        <v>174</v>
      </c>
      <c r="E1785" s="33" t="s">
        <v>166</v>
      </c>
      <c r="F1785" s="33" t="s">
        <v>163</v>
      </c>
    </row>
    <row r="1786" spans="1:6" ht="15" thickBot="1">
      <c r="A1786" s="31">
        <v>8144980</v>
      </c>
      <c r="B1786" s="32">
        <v>12900000</v>
      </c>
      <c r="C1786" s="33" t="s">
        <v>262</v>
      </c>
      <c r="D1786" s="33" t="s">
        <v>169</v>
      </c>
      <c r="E1786" s="34" t="s">
        <v>170</v>
      </c>
      <c r="F1786" s="33" t="s">
        <v>163</v>
      </c>
    </row>
    <row r="1787" spans="1:6" ht="15" thickBot="1">
      <c r="A1787" s="31">
        <v>8145104</v>
      </c>
      <c r="B1787" s="32">
        <v>10500000</v>
      </c>
      <c r="C1787" s="33" t="s">
        <v>221</v>
      </c>
      <c r="D1787" s="33" t="s">
        <v>169</v>
      </c>
      <c r="E1787" s="34" t="s">
        <v>170</v>
      </c>
      <c r="F1787" s="33" t="s">
        <v>163</v>
      </c>
    </row>
    <row r="1788" spans="1:6" ht="15" thickBot="1">
      <c r="A1788" s="31">
        <v>8146019</v>
      </c>
      <c r="B1788" s="32">
        <v>100000</v>
      </c>
      <c r="C1788" s="33" t="s">
        <v>160</v>
      </c>
      <c r="D1788" s="33" t="s">
        <v>161</v>
      </c>
      <c r="E1788" s="33" t="s">
        <v>162</v>
      </c>
      <c r="F1788" s="33" t="s">
        <v>167</v>
      </c>
    </row>
    <row r="1789" spans="1:6" ht="15" thickBot="1">
      <c r="A1789" s="31">
        <v>8146101</v>
      </c>
      <c r="B1789" s="32">
        <v>6200000</v>
      </c>
      <c r="C1789" s="33" t="s">
        <v>284</v>
      </c>
      <c r="D1789" s="33" t="s">
        <v>174</v>
      </c>
      <c r="E1789" s="33" t="s">
        <v>166</v>
      </c>
      <c r="F1789" s="33" t="s">
        <v>163</v>
      </c>
    </row>
    <row r="1790" spans="1:6" ht="15" thickBot="1">
      <c r="A1790" s="31">
        <v>8146734</v>
      </c>
      <c r="B1790" s="32">
        <v>45000</v>
      </c>
      <c r="C1790" s="33" t="s">
        <v>171</v>
      </c>
      <c r="D1790" s="33" t="s">
        <v>161</v>
      </c>
      <c r="E1790" s="33" t="s">
        <v>162</v>
      </c>
      <c r="F1790" s="33" t="s">
        <v>167</v>
      </c>
    </row>
    <row r="1791" spans="1:6" ht="15" thickBot="1">
      <c r="A1791" s="31">
        <v>8146872</v>
      </c>
      <c r="B1791" s="32">
        <v>100000</v>
      </c>
      <c r="C1791" s="33" t="s">
        <v>201</v>
      </c>
      <c r="D1791" s="33" t="s">
        <v>169</v>
      </c>
      <c r="E1791" s="34" t="s">
        <v>170</v>
      </c>
      <c r="F1791" s="33" t="s">
        <v>167</v>
      </c>
    </row>
    <row r="1792" spans="1:6" ht="15" thickBot="1">
      <c r="A1792" s="31">
        <v>8150716</v>
      </c>
      <c r="B1792" s="32">
        <v>11000000</v>
      </c>
      <c r="C1792" s="33" t="s">
        <v>251</v>
      </c>
      <c r="D1792" s="33" t="s">
        <v>174</v>
      </c>
      <c r="E1792" s="33" t="s">
        <v>166</v>
      </c>
      <c r="F1792" s="33" t="s">
        <v>163</v>
      </c>
    </row>
    <row r="1793" spans="1:6" ht="15" thickBot="1">
      <c r="A1793" s="31">
        <v>8153905</v>
      </c>
      <c r="B1793" s="32">
        <v>21000000</v>
      </c>
      <c r="C1793" s="33" t="s">
        <v>204</v>
      </c>
      <c r="D1793" s="33" t="s">
        <v>169</v>
      </c>
      <c r="E1793" s="34" t="s">
        <v>170</v>
      </c>
      <c r="F1793" s="33" t="s">
        <v>163</v>
      </c>
    </row>
    <row r="1794" spans="1:6" ht="15" thickBot="1">
      <c r="A1794" s="31">
        <v>8154008</v>
      </c>
      <c r="B1794" s="32">
        <v>23000000</v>
      </c>
      <c r="C1794" s="33" t="s">
        <v>204</v>
      </c>
      <c r="D1794" s="33" t="s">
        <v>169</v>
      </c>
      <c r="E1794" s="34" t="s">
        <v>170</v>
      </c>
      <c r="F1794" s="33" t="s">
        <v>163</v>
      </c>
    </row>
    <row r="1795" spans="1:6" ht="15" thickBot="1">
      <c r="A1795" s="31">
        <v>8154188</v>
      </c>
      <c r="B1795" s="32">
        <v>40000000</v>
      </c>
      <c r="C1795" s="33" t="s">
        <v>204</v>
      </c>
      <c r="D1795" s="33" t="s">
        <v>169</v>
      </c>
      <c r="E1795" s="34" t="s">
        <v>170</v>
      </c>
      <c r="F1795" s="33" t="s">
        <v>163</v>
      </c>
    </row>
    <row r="1796" spans="1:6" ht="15" thickBot="1">
      <c r="A1796" s="31">
        <v>8154390</v>
      </c>
      <c r="B1796" s="32">
        <v>43000000</v>
      </c>
      <c r="C1796" s="33" t="s">
        <v>204</v>
      </c>
      <c r="D1796" s="33" t="s">
        <v>169</v>
      </c>
      <c r="E1796" s="34" t="s">
        <v>170</v>
      </c>
      <c r="F1796" s="33" t="s">
        <v>163</v>
      </c>
    </row>
    <row r="1797" spans="1:6" ht="15" thickBot="1">
      <c r="A1797" s="31">
        <v>8154697</v>
      </c>
      <c r="B1797" s="32">
        <v>23500000</v>
      </c>
      <c r="C1797" s="33" t="s">
        <v>204</v>
      </c>
      <c r="D1797" s="33" t="s">
        <v>169</v>
      </c>
      <c r="E1797" s="34" t="s">
        <v>170</v>
      </c>
      <c r="F1797" s="33" t="s">
        <v>163</v>
      </c>
    </row>
    <row r="1798" spans="1:6" ht="15" thickBot="1">
      <c r="A1798" s="31">
        <v>8155100</v>
      </c>
      <c r="B1798" s="32">
        <v>17500000</v>
      </c>
      <c r="C1798" s="33" t="s">
        <v>230</v>
      </c>
      <c r="D1798" s="33" t="s">
        <v>161</v>
      </c>
      <c r="E1798" s="33" t="s">
        <v>162</v>
      </c>
      <c r="F1798" s="33" t="s">
        <v>163</v>
      </c>
    </row>
    <row r="1799" spans="1:6" ht="15" thickBot="1">
      <c r="A1799" s="31">
        <v>8156764</v>
      </c>
      <c r="B1799" s="32">
        <v>125000000</v>
      </c>
      <c r="C1799" s="33" t="s">
        <v>177</v>
      </c>
      <c r="D1799" s="33" t="s">
        <v>161</v>
      </c>
      <c r="E1799" s="33" t="s">
        <v>162</v>
      </c>
      <c r="F1799" s="33" t="s">
        <v>163</v>
      </c>
    </row>
    <row r="1800" spans="1:6" ht="15" thickBot="1">
      <c r="A1800" s="31">
        <v>8158531</v>
      </c>
      <c r="B1800" s="32">
        <v>300000000</v>
      </c>
      <c r="C1800" s="33" t="s">
        <v>177</v>
      </c>
      <c r="D1800" s="33" t="s">
        <v>161</v>
      </c>
      <c r="E1800" s="33" t="s">
        <v>162</v>
      </c>
      <c r="F1800" s="33" t="s">
        <v>163</v>
      </c>
    </row>
    <row r="1801" spans="1:6" ht="15" thickBot="1">
      <c r="A1801" s="31">
        <v>8159008</v>
      </c>
      <c r="B1801" s="32">
        <v>55000</v>
      </c>
      <c r="C1801" s="33" t="s">
        <v>196</v>
      </c>
      <c r="D1801" s="33" t="s">
        <v>161</v>
      </c>
      <c r="E1801" s="33" t="s">
        <v>162</v>
      </c>
      <c r="F1801" s="33" t="s">
        <v>167</v>
      </c>
    </row>
    <row r="1802" spans="1:6" ht="15" thickBot="1">
      <c r="A1802" s="31">
        <v>8161976</v>
      </c>
      <c r="B1802" s="32">
        <v>12000000</v>
      </c>
      <c r="C1802" s="33" t="s">
        <v>496</v>
      </c>
      <c r="D1802" s="33" t="s">
        <v>169</v>
      </c>
      <c r="E1802" s="34" t="s">
        <v>170</v>
      </c>
      <c r="F1802" s="33" t="s">
        <v>163</v>
      </c>
    </row>
    <row r="1803" spans="1:6" ht="15" thickBot="1">
      <c r="A1803" s="31">
        <v>8162369</v>
      </c>
      <c r="B1803" s="32">
        <v>9000000</v>
      </c>
      <c r="C1803" s="33" t="s">
        <v>497</v>
      </c>
      <c r="D1803" s="33" t="s">
        <v>200</v>
      </c>
      <c r="E1803" s="33" t="s">
        <v>166</v>
      </c>
      <c r="F1803" s="33" t="s">
        <v>163</v>
      </c>
    </row>
    <row r="1804" spans="1:6" ht="15" thickBot="1">
      <c r="A1804" s="31">
        <v>8162507</v>
      </c>
      <c r="B1804" s="32">
        <v>35000</v>
      </c>
      <c r="C1804" s="33" t="s">
        <v>498</v>
      </c>
      <c r="D1804" s="33" t="s">
        <v>165</v>
      </c>
      <c r="E1804" s="33" t="s">
        <v>166</v>
      </c>
      <c r="F1804" s="33" t="s">
        <v>167</v>
      </c>
    </row>
    <row r="1805" spans="1:6" ht="15" thickBot="1">
      <c r="A1805" s="31">
        <v>8163238</v>
      </c>
      <c r="B1805" s="32">
        <v>60000</v>
      </c>
      <c r="C1805" s="33" t="s">
        <v>196</v>
      </c>
      <c r="D1805" s="33" t="s">
        <v>161</v>
      </c>
      <c r="E1805" s="33" t="s">
        <v>162</v>
      </c>
      <c r="F1805" s="33" t="s">
        <v>167</v>
      </c>
    </row>
    <row r="1806" spans="1:6" ht="15" thickBot="1">
      <c r="A1806" s="31">
        <v>8163508</v>
      </c>
      <c r="B1806" s="32">
        <v>3800000</v>
      </c>
      <c r="C1806" s="33" t="s">
        <v>499</v>
      </c>
      <c r="D1806" s="33" t="s">
        <v>169</v>
      </c>
      <c r="E1806" s="34" t="s">
        <v>170</v>
      </c>
      <c r="F1806" s="33" t="s">
        <v>163</v>
      </c>
    </row>
    <row r="1807" spans="1:6" ht="15" thickBot="1">
      <c r="A1807" s="31">
        <v>8164160</v>
      </c>
      <c r="B1807" s="32">
        <v>45000</v>
      </c>
      <c r="C1807" s="33" t="s">
        <v>500</v>
      </c>
      <c r="D1807" s="33" t="s">
        <v>165</v>
      </c>
      <c r="E1807" s="33" t="s">
        <v>166</v>
      </c>
      <c r="F1807" s="33" t="s">
        <v>167</v>
      </c>
    </row>
    <row r="1808" spans="1:6" ht="15" thickBot="1">
      <c r="A1808" s="31">
        <v>8164385</v>
      </c>
      <c r="B1808" s="32">
        <v>30000</v>
      </c>
      <c r="C1808" s="33" t="s">
        <v>276</v>
      </c>
      <c r="D1808" s="33" t="s">
        <v>165</v>
      </c>
      <c r="E1808" s="33" t="s">
        <v>166</v>
      </c>
      <c r="F1808" s="33" t="s">
        <v>167</v>
      </c>
    </row>
    <row r="1809" spans="1:6" ht="15" thickBot="1">
      <c r="A1809" s="31">
        <v>8164688</v>
      </c>
      <c r="B1809" s="32">
        <v>85000000</v>
      </c>
      <c r="C1809" s="33" t="s">
        <v>172</v>
      </c>
      <c r="D1809" s="33" t="s">
        <v>169</v>
      </c>
      <c r="E1809" s="34" t="s">
        <v>170</v>
      </c>
      <c r="F1809" s="33" t="s">
        <v>163</v>
      </c>
    </row>
    <row r="1810" spans="1:6" ht="15" thickBot="1">
      <c r="A1810" s="31">
        <v>8164820</v>
      </c>
      <c r="B1810" s="32">
        <v>45000000</v>
      </c>
      <c r="C1810" s="33" t="s">
        <v>171</v>
      </c>
      <c r="D1810" s="33" t="s">
        <v>161</v>
      </c>
      <c r="E1810" s="33" t="s">
        <v>162</v>
      </c>
      <c r="F1810" s="33" t="s">
        <v>163</v>
      </c>
    </row>
    <row r="1811" spans="1:6" ht="15" thickBot="1">
      <c r="A1811" s="31">
        <v>8165756</v>
      </c>
      <c r="B1811" s="32">
        <v>7500000</v>
      </c>
      <c r="C1811" s="33" t="s">
        <v>492</v>
      </c>
      <c r="D1811" s="33" t="s">
        <v>174</v>
      </c>
      <c r="E1811" s="33" t="s">
        <v>166</v>
      </c>
      <c r="F1811" s="33" t="s">
        <v>163</v>
      </c>
    </row>
    <row r="1812" spans="1:6" ht="15" thickBot="1">
      <c r="A1812" s="31">
        <v>8166070</v>
      </c>
      <c r="B1812" s="32">
        <v>20000000</v>
      </c>
      <c r="C1812" s="33" t="s">
        <v>276</v>
      </c>
      <c r="D1812" s="33" t="s">
        <v>165</v>
      </c>
      <c r="E1812" s="33" t="s">
        <v>166</v>
      </c>
      <c r="F1812" s="33" t="s">
        <v>163</v>
      </c>
    </row>
    <row r="1813" spans="1:6" ht="15" thickBot="1">
      <c r="A1813" s="31">
        <v>8166282</v>
      </c>
      <c r="B1813" s="32">
        <v>4500000</v>
      </c>
      <c r="C1813" s="33" t="s">
        <v>501</v>
      </c>
      <c r="D1813" s="33" t="s">
        <v>200</v>
      </c>
      <c r="E1813" s="33" t="s">
        <v>166</v>
      </c>
      <c r="F1813" s="33" t="s">
        <v>163</v>
      </c>
    </row>
    <row r="1814" spans="1:6" ht="15" thickBot="1">
      <c r="A1814" s="31">
        <v>8166452</v>
      </c>
      <c r="B1814" s="32">
        <v>9500000</v>
      </c>
      <c r="C1814" s="33" t="s">
        <v>276</v>
      </c>
      <c r="D1814" s="33" t="s">
        <v>165</v>
      </c>
      <c r="E1814" s="33" t="s">
        <v>166</v>
      </c>
      <c r="F1814" s="33" t="s">
        <v>163</v>
      </c>
    </row>
    <row r="1815" spans="1:6" ht="15" thickBot="1">
      <c r="A1815" s="31">
        <v>8166559</v>
      </c>
      <c r="B1815" s="32">
        <v>5000000</v>
      </c>
      <c r="C1815" s="33" t="s">
        <v>502</v>
      </c>
      <c r="D1815" s="33" t="s">
        <v>174</v>
      </c>
      <c r="E1815" s="33" t="s">
        <v>166</v>
      </c>
      <c r="F1815" s="33" t="s">
        <v>163</v>
      </c>
    </row>
    <row r="1816" spans="1:6" ht="15" thickBot="1">
      <c r="A1816" s="31">
        <v>8166580</v>
      </c>
      <c r="B1816" s="32">
        <v>3750000</v>
      </c>
      <c r="C1816" s="33" t="s">
        <v>335</v>
      </c>
      <c r="D1816" s="33" t="s">
        <v>165</v>
      </c>
      <c r="E1816" s="33" t="s">
        <v>166</v>
      </c>
      <c r="F1816" s="33" t="s">
        <v>163</v>
      </c>
    </row>
    <row r="1817" spans="1:6" ht="15" thickBot="1">
      <c r="A1817" s="31">
        <v>8166651</v>
      </c>
      <c r="B1817" s="32">
        <v>18000</v>
      </c>
      <c r="C1817" s="33" t="s">
        <v>187</v>
      </c>
      <c r="D1817" s="33" t="s">
        <v>161</v>
      </c>
      <c r="E1817" s="33" t="s">
        <v>162</v>
      </c>
      <c r="F1817" s="33" t="s">
        <v>167</v>
      </c>
    </row>
    <row r="1818" spans="1:6" ht="15" thickBot="1">
      <c r="A1818" s="31">
        <v>8166703</v>
      </c>
      <c r="B1818" s="32">
        <v>50000</v>
      </c>
      <c r="C1818" s="33" t="s">
        <v>186</v>
      </c>
      <c r="D1818" s="33" t="s">
        <v>165</v>
      </c>
      <c r="E1818" s="33" t="s">
        <v>166</v>
      </c>
      <c r="F1818" s="33" t="s">
        <v>167</v>
      </c>
    </row>
    <row r="1819" spans="1:6" ht="15" thickBot="1">
      <c r="A1819" s="31">
        <v>8166704</v>
      </c>
      <c r="B1819" s="32">
        <v>7400000</v>
      </c>
      <c r="C1819" s="33" t="s">
        <v>178</v>
      </c>
      <c r="D1819" s="33" t="s">
        <v>174</v>
      </c>
      <c r="E1819" s="33" t="s">
        <v>166</v>
      </c>
      <c r="F1819" s="33" t="s">
        <v>163</v>
      </c>
    </row>
    <row r="1820" spans="1:6" ht="15" thickBot="1">
      <c r="A1820" s="31">
        <v>8166782</v>
      </c>
      <c r="B1820" s="32">
        <v>18000</v>
      </c>
      <c r="C1820" s="33" t="s">
        <v>503</v>
      </c>
      <c r="D1820" s="33" t="s">
        <v>200</v>
      </c>
      <c r="E1820" s="33" t="s">
        <v>166</v>
      </c>
      <c r="F1820" s="33" t="s">
        <v>167</v>
      </c>
    </row>
    <row r="1821" spans="1:6" ht="15" thickBot="1">
      <c r="A1821" s="31">
        <v>8166806</v>
      </c>
      <c r="B1821" s="32">
        <v>125000</v>
      </c>
      <c r="C1821" s="33" t="s">
        <v>274</v>
      </c>
      <c r="D1821" s="33" t="s">
        <v>169</v>
      </c>
      <c r="E1821" s="34" t="s">
        <v>170</v>
      </c>
      <c r="F1821" s="33" t="s">
        <v>167</v>
      </c>
    </row>
    <row r="1822" spans="1:6" ht="15" thickBot="1">
      <c r="A1822" s="31">
        <v>8166815</v>
      </c>
      <c r="B1822" s="32">
        <v>9000000</v>
      </c>
      <c r="C1822" s="33" t="s">
        <v>504</v>
      </c>
      <c r="D1822" s="33" t="s">
        <v>169</v>
      </c>
      <c r="E1822" s="34" t="s">
        <v>170</v>
      </c>
      <c r="F1822" s="33" t="s">
        <v>163</v>
      </c>
    </row>
    <row r="1823" spans="1:6" ht="15" thickBot="1">
      <c r="A1823" s="31">
        <v>8166844</v>
      </c>
      <c r="B1823" s="32">
        <v>130000</v>
      </c>
      <c r="C1823" s="33" t="s">
        <v>274</v>
      </c>
      <c r="D1823" s="33" t="s">
        <v>169</v>
      </c>
      <c r="E1823" s="34" t="s">
        <v>170</v>
      </c>
      <c r="F1823" s="33" t="s">
        <v>167</v>
      </c>
    </row>
    <row r="1824" spans="1:6" ht="15" thickBot="1">
      <c r="A1824" s="31">
        <v>8166984</v>
      </c>
      <c r="B1824" s="32">
        <v>7500000</v>
      </c>
      <c r="C1824" s="33" t="s">
        <v>505</v>
      </c>
      <c r="D1824" s="33" t="s">
        <v>200</v>
      </c>
      <c r="E1824" s="33" t="s">
        <v>166</v>
      </c>
      <c r="F1824" s="33" t="s">
        <v>163</v>
      </c>
    </row>
    <row r="1825" spans="1:6" ht="15" thickBot="1">
      <c r="A1825" s="31">
        <v>8167026</v>
      </c>
      <c r="B1825" s="32">
        <v>90000</v>
      </c>
      <c r="C1825" s="33" t="s">
        <v>211</v>
      </c>
      <c r="D1825" s="33" t="s">
        <v>161</v>
      </c>
      <c r="E1825" s="33" t="s">
        <v>162</v>
      </c>
      <c r="F1825" s="33" t="s">
        <v>167</v>
      </c>
    </row>
    <row r="1826" spans="1:6" ht="15" thickBot="1">
      <c r="A1826" s="31">
        <v>8167037</v>
      </c>
      <c r="B1826" s="32">
        <v>30000</v>
      </c>
      <c r="C1826" s="33" t="s">
        <v>276</v>
      </c>
      <c r="D1826" s="33" t="s">
        <v>165</v>
      </c>
      <c r="E1826" s="33" t="s">
        <v>166</v>
      </c>
      <c r="F1826" s="33" t="s">
        <v>167</v>
      </c>
    </row>
    <row r="1827" spans="1:6" ht="15" thickBot="1">
      <c r="A1827" s="31">
        <v>8167139</v>
      </c>
      <c r="B1827" s="32">
        <v>26000000</v>
      </c>
      <c r="C1827" s="33" t="s">
        <v>309</v>
      </c>
      <c r="D1827" s="33" t="s">
        <v>165</v>
      </c>
      <c r="E1827" s="33" t="s">
        <v>166</v>
      </c>
      <c r="F1827" s="33" t="s">
        <v>163</v>
      </c>
    </row>
    <row r="1828" spans="1:6" ht="29" thickBot="1">
      <c r="A1828" s="31">
        <v>8167217</v>
      </c>
      <c r="B1828" s="32">
        <v>13500000</v>
      </c>
      <c r="C1828" s="33" t="s">
        <v>506</v>
      </c>
      <c r="D1828" s="33" t="s">
        <v>174</v>
      </c>
      <c r="E1828" s="33" t="s">
        <v>166</v>
      </c>
      <c r="F1828" s="33" t="s">
        <v>163</v>
      </c>
    </row>
    <row r="1829" spans="1:6" ht="15" thickBot="1">
      <c r="A1829" s="31">
        <v>8167633</v>
      </c>
      <c r="B1829" s="32">
        <v>22000000</v>
      </c>
      <c r="C1829" s="33" t="s">
        <v>177</v>
      </c>
      <c r="D1829" s="33" t="s">
        <v>169</v>
      </c>
      <c r="E1829" s="34" t="s">
        <v>170</v>
      </c>
      <c r="F1829" s="33" t="s">
        <v>163</v>
      </c>
    </row>
    <row r="1830" spans="1:6" ht="15" thickBot="1">
      <c r="A1830" s="31">
        <v>8167872</v>
      </c>
      <c r="B1830" s="32">
        <v>16900000</v>
      </c>
      <c r="C1830" s="33" t="s">
        <v>396</v>
      </c>
      <c r="D1830" s="33" t="s">
        <v>165</v>
      </c>
      <c r="E1830" s="33" t="s">
        <v>166</v>
      </c>
      <c r="F1830" s="33" t="s">
        <v>163</v>
      </c>
    </row>
    <row r="1831" spans="1:6" ht="15" thickBot="1">
      <c r="A1831" s="31">
        <v>8169303</v>
      </c>
      <c r="B1831" s="32">
        <v>170000000</v>
      </c>
      <c r="C1831" s="33" t="s">
        <v>172</v>
      </c>
      <c r="D1831" s="33" t="s">
        <v>169</v>
      </c>
      <c r="E1831" s="34" t="s">
        <v>170</v>
      </c>
      <c r="F1831" s="33" t="s">
        <v>163</v>
      </c>
    </row>
    <row r="1832" spans="1:6" ht="15" thickBot="1">
      <c r="A1832" s="31">
        <v>8170254</v>
      </c>
      <c r="B1832" s="32">
        <v>5500000</v>
      </c>
      <c r="C1832" s="33" t="s">
        <v>507</v>
      </c>
      <c r="D1832" s="33" t="s">
        <v>174</v>
      </c>
      <c r="E1832" s="33" t="s">
        <v>166</v>
      </c>
      <c r="F1832" s="33" t="s">
        <v>163</v>
      </c>
    </row>
    <row r="1833" spans="1:6" ht="15" thickBot="1">
      <c r="A1833" s="31">
        <v>8171770</v>
      </c>
      <c r="B1833" s="32">
        <v>9500000</v>
      </c>
      <c r="C1833" s="33" t="s">
        <v>221</v>
      </c>
      <c r="D1833" s="33" t="s">
        <v>169</v>
      </c>
      <c r="E1833" s="34" t="s">
        <v>170</v>
      </c>
      <c r="F1833" s="33" t="s">
        <v>163</v>
      </c>
    </row>
    <row r="1834" spans="1:6" ht="15" thickBot="1">
      <c r="A1834" s="31">
        <v>8172833</v>
      </c>
      <c r="B1834" s="32">
        <v>17500000</v>
      </c>
      <c r="C1834" s="33" t="s">
        <v>179</v>
      </c>
      <c r="D1834" s="33" t="s">
        <v>165</v>
      </c>
      <c r="E1834" s="33" t="s">
        <v>166</v>
      </c>
      <c r="F1834" s="33" t="s">
        <v>163</v>
      </c>
    </row>
    <row r="1835" spans="1:6" ht="29" thickBot="1">
      <c r="A1835" s="31">
        <v>8173437</v>
      </c>
      <c r="B1835" s="32">
        <v>5200000</v>
      </c>
      <c r="C1835" s="33" t="s">
        <v>436</v>
      </c>
      <c r="D1835" s="33" t="s">
        <v>165</v>
      </c>
      <c r="E1835" s="33" t="s">
        <v>166</v>
      </c>
      <c r="F1835" s="33" t="s">
        <v>163</v>
      </c>
    </row>
    <row r="1836" spans="1:6" ht="15" thickBot="1">
      <c r="A1836" s="31">
        <v>8173979</v>
      </c>
      <c r="B1836" s="32">
        <v>62500000</v>
      </c>
      <c r="C1836" s="33" t="s">
        <v>201</v>
      </c>
      <c r="D1836" s="33" t="s">
        <v>169</v>
      </c>
      <c r="E1836" s="34" t="s">
        <v>170</v>
      </c>
      <c r="F1836" s="33" t="s">
        <v>163</v>
      </c>
    </row>
    <row r="1837" spans="1:6" ht="15" thickBot="1">
      <c r="A1837" s="31">
        <v>8175521</v>
      </c>
      <c r="B1837" s="32">
        <v>4000000</v>
      </c>
      <c r="C1837" s="33" t="s">
        <v>263</v>
      </c>
      <c r="D1837" s="33" t="s">
        <v>161</v>
      </c>
      <c r="E1837" s="33" t="s">
        <v>162</v>
      </c>
      <c r="F1837" s="33" t="s">
        <v>163</v>
      </c>
    </row>
    <row r="1838" spans="1:6" ht="15" thickBot="1">
      <c r="A1838" s="31">
        <v>8176648</v>
      </c>
      <c r="B1838" s="32">
        <v>7600000</v>
      </c>
      <c r="C1838" s="33" t="s">
        <v>508</v>
      </c>
      <c r="D1838" s="33" t="s">
        <v>161</v>
      </c>
      <c r="E1838" s="33" t="s">
        <v>162</v>
      </c>
      <c r="F1838" s="33" t="s">
        <v>163</v>
      </c>
    </row>
    <row r="1839" spans="1:6" ht="15" thickBot="1">
      <c r="A1839" s="31">
        <v>8176997</v>
      </c>
      <c r="B1839" s="32">
        <v>190000000</v>
      </c>
      <c r="C1839" s="33" t="s">
        <v>274</v>
      </c>
      <c r="D1839" s="33" t="s">
        <v>169</v>
      </c>
      <c r="E1839" s="34" t="s">
        <v>170</v>
      </c>
      <c r="F1839" s="33" t="s">
        <v>163</v>
      </c>
    </row>
    <row r="1840" spans="1:6" ht="15" thickBot="1">
      <c r="A1840" s="31">
        <v>8177667</v>
      </c>
      <c r="B1840" s="32">
        <v>8500000</v>
      </c>
      <c r="C1840" s="33" t="s">
        <v>509</v>
      </c>
      <c r="D1840" s="33" t="s">
        <v>200</v>
      </c>
      <c r="E1840" s="33" t="s">
        <v>166</v>
      </c>
      <c r="F1840" s="33" t="s">
        <v>163</v>
      </c>
    </row>
    <row r="1841" spans="1:6" ht="15" thickBot="1">
      <c r="A1841" s="31">
        <v>8177900</v>
      </c>
      <c r="B1841" s="32">
        <v>40000000</v>
      </c>
      <c r="C1841" s="33" t="s">
        <v>510</v>
      </c>
      <c r="D1841" s="33" t="s">
        <v>200</v>
      </c>
      <c r="E1841" s="33" t="s">
        <v>166</v>
      </c>
      <c r="F1841" s="33" t="s">
        <v>163</v>
      </c>
    </row>
    <row r="1842" spans="1:6" ht="15" thickBot="1">
      <c r="A1842" s="31">
        <v>8178189</v>
      </c>
      <c r="B1842" s="32">
        <v>8500000</v>
      </c>
      <c r="C1842" s="33" t="s">
        <v>511</v>
      </c>
      <c r="D1842" s="33" t="s">
        <v>174</v>
      </c>
      <c r="E1842" s="33" t="s">
        <v>166</v>
      </c>
      <c r="F1842" s="33" t="s">
        <v>163</v>
      </c>
    </row>
    <row r="1843" spans="1:6" ht="15" thickBot="1">
      <c r="A1843" s="31">
        <v>8178272</v>
      </c>
      <c r="B1843" s="32">
        <v>7200000</v>
      </c>
      <c r="C1843" s="33" t="s">
        <v>235</v>
      </c>
      <c r="D1843" s="33" t="s">
        <v>161</v>
      </c>
      <c r="E1843" s="33" t="s">
        <v>162</v>
      </c>
      <c r="F1843" s="33" t="s">
        <v>163</v>
      </c>
    </row>
    <row r="1844" spans="1:6" ht="15" thickBot="1">
      <c r="A1844" s="31">
        <v>8178299</v>
      </c>
      <c r="B1844" s="32">
        <v>10500000</v>
      </c>
      <c r="C1844" s="33" t="s">
        <v>440</v>
      </c>
      <c r="D1844" s="33" t="s">
        <v>200</v>
      </c>
      <c r="E1844" s="33" t="s">
        <v>166</v>
      </c>
      <c r="F1844" s="33" t="s">
        <v>163</v>
      </c>
    </row>
    <row r="1845" spans="1:6" ht="15" thickBot="1">
      <c r="A1845" s="31">
        <v>8178364</v>
      </c>
      <c r="B1845" s="32">
        <v>7200000</v>
      </c>
      <c r="C1845" s="33" t="s">
        <v>235</v>
      </c>
      <c r="D1845" s="33" t="s">
        <v>161</v>
      </c>
      <c r="E1845" s="33" t="s">
        <v>162</v>
      </c>
      <c r="F1845" s="33" t="s">
        <v>163</v>
      </c>
    </row>
    <row r="1846" spans="1:6" ht="15" thickBot="1">
      <c r="A1846" s="31">
        <v>8178604</v>
      </c>
      <c r="B1846" s="32">
        <v>13000000</v>
      </c>
      <c r="C1846" s="33" t="s">
        <v>180</v>
      </c>
      <c r="D1846" s="33" t="s">
        <v>165</v>
      </c>
      <c r="E1846" s="33" t="s">
        <v>166</v>
      </c>
      <c r="F1846" s="33" t="s">
        <v>163</v>
      </c>
    </row>
    <row r="1847" spans="1:6" ht="15" thickBot="1">
      <c r="A1847" s="31">
        <v>8178953</v>
      </c>
      <c r="B1847" s="32">
        <v>40000000</v>
      </c>
      <c r="C1847" s="33" t="s">
        <v>160</v>
      </c>
      <c r="D1847" s="33" t="s">
        <v>161</v>
      </c>
      <c r="E1847" s="33" t="s">
        <v>162</v>
      </c>
      <c r="F1847" s="33" t="s">
        <v>163</v>
      </c>
    </row>
    <row r="1848" spans="1:6" ht="29" thickBot="1">
      <c r="A1848" s="31">
        <v>8179427</v>
      </c>
      <c r="B1848" s="32">
        <v>6642000</v>
      </c>
      <c r="C1848" s="33" t="s">
        <v>286</v>
      </c>
      <c r="D1848" s="33" t="s">
        <v>161</v>
      </c>
      <c r="E1848" s="33" t="s">
        <v>162</v>
      </c>
      <c r="F1848" s="33" t="s">
        <v>163</v>
      </c>
    </row>
    <row r="1849" spans="1:6" ht="15" thickBot="1">
      <c r="A1849" s="31">
        <v>8180517</v>
      </c>
      <c r="B1849" s="32">
        <v>18000000</v>
      </c>
      <c r="C1849" s="33" t="s">
        <v>512</v>
      </c>
      <c r="D1849" s="33" t="s">
        <v>165</v>
      </c>
      <c r="E1849" s="33" t="s">
        <v>166</v>
      </c>
      <c r="F1849" s="33" t="s">
        <v>163</v>
      </c>
    </row>
    <row r="1850" spans="1:6" ht="15" thickBot="1">
      <c r="A1850" s="31">
        <v>8181049</v>
      </c>
      <c r="B1850" s="32">
        <v>5000000</v>
      </c>
      <c r="C1850" s="33" t="s">
        <v>513</v>
      </c>
      <c r="D1850" s="33" t="s">
        <v>169</v>
      </c>
      <c r="E1850" s="34" t="s">
        <v>170</v>
      </c>
      <c r="F1850" s="33" t="s">
        <v>163</v>
      </c>
    </row>
    <row r="1851" spans="1:6" ht="15" thickBot="1">
      <c r="A1851" s="31">
        <v>8181226</v>
      </c>
      <c r="B1851" s="32">
        <v>120000</v>
      </c>
      <c r="C1851" s="33" t="s">
        <v>177</v>
      </c>
      <c r="D1851" s="33" t="s">
        <v>161</v>
      </c>
      <c r="E1851" s="33" t="s">
        <v>162</v>
      </c>
      <c r="F1851" s="33" t="s">
        <v>167</v>
      </c>
    </row>
    <row r="1852" spans="1:6" ht="15" thickBot="1">
      <c r="A1852" s="31">
        <v>8181280</v>
      </c>
      <c r="B1852" s="32">
        <v>4900000</v>
      </c>
      <c r="C1852" s="33" t="s">
        <v>187</v>
      </c>
      <c r="D1852" s="33" t="s">
        <v>161</v>
      </c>
      <c r="E1852" s="33" t="s">
        <v>162</v>
      </c>
      <c r="F1852" s="33" t="s">
        <v>163</v>
      </c>
    </row>
    <row r="1853" spans="1:6" ht="15" thickBot="1">
      <c r="A1853" s="31">
        <v>8181555</v>
      </c>
      <c r="B1853" s="32">
        <v>11700000</v>
      </c>
      <c r="C1853" s="33" t="s">
        <v>514</v>
      </c>
      <c r="D1853" s="33" t="s">
        <v>174</v>
      </c>
      <c r="E1853" s="33" t="s">
        <v>166</v>
      </c>
      <c r="F1853" s="33" t="s">
        <v>163</v>
      </c>
    </row>
    <row r="1854" spans="1:6" ht="15" thickBot="1">
      <c r="A1854" s="31">
        <v>8181904</v>
      </c>
      <c r="B1854" s="32">
        <v>50000</v>
      </c>
      <c r="C1854" s="33" t="s">
        <v>282</v>
      </c>
      <c r="D1854" s="33" t="s">
        <v>161</v>
      </c>
      <c r="E1854" s="33" t="s">
        <v>162</v>
      </c>
      <c r="F1854" s="33" t="s">
        <v>167</v>
      </c>
    </row>
    <row r="1855" spans="1:6" ht="15" thickBot="1">
      <c r="A1855" s="31">
        <v>8182104</v>
      </c>
      <c r="B1855" s="32">
        <v>2200000</v>
      </c>
      <c r="C1855" s="33" t="s">
        <v>515</v>
      </c>
      <c r="D1855" s="33" t="s">
        <v>161</v>
      </c>
      <c r="E1855" s="33" t="s">
        <v>162</v>
      </c>
      <c r="F1855" s="33" t="s">
        <v>163</v>
      </c>
    </row>
    <row r="1856" spans="1:6" ht="15" thickBot="1">
      <c r="A1856" s="31">
        <v>8182491</v>
      </c>
      <c r="B1856" s="32">
        <v>14000000</v>
      </c>
      <c r="C1856" s="33" t="s">
        <v>207</v>
      </c>
      <c r="D1856" s="33" t="s">
        <v>169</v>
      </c>
      <c r="E1856" s="34" t="s">
        <v>170</v>
      </c>
      <c r="F1856" s="33" t="s">
        <v>163</v>
      </c>
    </row>
    <row r="1857" spans="1:6" ht="15" thickBot="1">
      <c r="A1857" s="31">
        <v>8182499</v>
      </c>
      <c r="B1857" s="32">
        <v>18500000</v>
      </c>
      <c r="C1857" s="33" t="s">
        <v>198</v>
      </c>
      <c r="D1857" s="33" t="s">
        <v>169</v>
      </c>
      <c r="E1857" s="34" t="s">
        <v>170</v>
      </c>
      <c r="F1857" s="33" t="s">
        <v>163</v>
      </c>
    </row>
    <row r="1858" spans="1:6" ht="15" thickBot="1">
      <c r="A1858" s="31">
        <v>8182918</v>
      </c>
      <c r="B1858" s="32">
        <v>17000</v>
      </c>
      <c r="C1858" s="33" t="s">
        <v>184</v>
      </c>
      <c r="D1858" s="33" t="s">
        <v>161</v>
      </c>
      <c r="E1858" s="33" t="s">
        <v>162</v>
      </c>
      <c r="F1858" s="33" t="s">
        <v>167</v>
      </c>
    </row>
    <row r="1859" spans="1:6" ht="15" thickBot="1">
      <c r="A1859" s="31">
        <v>8182938</v>
      </c>
      <c r="B1859" s="32">
        <v>21000</v>
      </c>
      <c r="C1859" s="33" t="s">
        <v>184</v>
      </c>
      <c r="D1859" s="33" t="s">
        <v>161</v>
      </c>
      <c r="E1859" s="33" t="s">
        <v>162</v>
      </c>
      <c r="F1859" s="33" t="s">
        <v>167</v>
      </c>
    </row>
    <row r="1860" spans="1:6" ht="15" thickBot="1">
      <c r="A1860" s="31">
        <v>8182940</v>
      </c>
      <c r="B1860" s="32">
        <v>3500000</v>
      </c>
      <c r="C1860" s="33" t="s">
        <v>171</v>
      </c>
      <c r="D1860" s="33" t="s">
        <v>161</v>
      </c>
      <c r="E1860" s="33" t="s">
        <v>162</v>
      </c>
      <c r="F1860" s="33" t="s">
        <v>163</v>
      </c>
    </row>
    <row r="1861" spans="1:6" ht="15" thickBot="1">
      <c r="A1861" s="31">
        <v>8182983</v>
      </c>
      <c r="B1861" s="32">
        <v>20000</v>
      </c>
      <c r="C1861" s="33" t="s">
        <v>184</v>
      </c>
      <c r="D1861" s="33" t="s">
        <v>161</v>
      </c>
      <c r="E1861" s="33" t="s">
        <v>162</v>
      </c>
      <c r="F1861" s="33" t="s">
        <v>167</v>
      </c>
    </row>
    <row r="1862" spans="1:6" ht="15" thickBot="1">
      <c r="A1862" s="31">
        <v>8183118</v>
      </c>
      <c r="B1862" s="32">
        <v>22000000</v>
      </c>
      <c r="C1862" s="33" t="s">
        <v>272</v>
      </c>
      <c r="D1862" s="33" t="s">
        <v>161</v>
      </c>
      <c r="E1862" s="33" t="s">
        <v>162</v>
      </c>
      <c r="F1862" s="33" t="s">
        <v>163</v>
      </c>
    </row>
    <row r="1863" spans="1:6" ht="15" thickBot="1">
      <c r="A1863" s="31">
        <v>8183190</v>
      </c>
      <c r="B1863" s="32">
        <v>30000000</v>
      </c>
      <c r="C1863" s="33" t="s">
        <v>235</v>
      </c>
      <c r="D1863" s="33" t="s">
        <v>161</v>
      </c>
      <c r="E1863" s="33" t="s">
        <v>162</v>
      </c>
      <c r="F1863" s="33" t="s">
        <v>163</v>
      </c>
    </row>
    <row r="1864" spans="1:6" ht="15" thickBot="1">
      <c r="A1864" s="31">
        <v>8183370</v>
      </c>
      <c r="B1864" s="32">
        <v>8000000</v>
      </c>
      <c r="C1864" s="33" t="s">
        <v>235</v>
      </c>
      <c r="D1864" s="33" t="s">
        <v>161</v>
      </c>
      <c r="E1864" s="33" t="s">
        <v>162</v>
      </c>
      <c r="F1864" s="33" t="s">
        <v>163</v>
      </c>
    </row>
    <row r="1865" spans="1:6" ht="15" thickBot="1">
      <c r="A1865" s="31">
        <v>8183624</v>
      </c>
      <c r="B1865" s="32">
        <v>2200000</v>
      </c>
      <c r="C1865" s="33" t="s">
        <v>516</v>
      </c>
      <c r="D1865" s="33" t="s">
        <v>200</v>
      </c>
      <c r="E1865" s="33" t="s">
        <v>166</v>
      </c>
      <c r="F1865" s="33" t="s">
        <v>163</v>
      </c>
    </row>
    <row r="1866" spans="1:6" ht="29" thickBot="1">
      <c r="A1866" s="31">
        <v>8183775</v>
      </c>
      <c r="B1866" s="32">
        <v>28500000</v>
      </c>
      <c r="C1866" s="33" t="s">
        <v>237</v>
      </c>
      <c r="D1866" s="33" t="s">
        <v>174</v>
      </c>
      <c r="E1866" s="33" t="s">
        <v>166</v>
      </c>
      <c r="F1866" s="33" t="s">
        <v>163</v>
      </c>
    </row>
    <row r="1867" spans="1:6" ht="15" thickBot="1">
      <c r="A1867" s="31">
        <v>8183969</v>
      </c>
      <c r="B1867" s="32">
        <v>14000000</v>
      </c>
      <c r="C1867" s="33" t="s">
        <v>207</v>
      </c>
      <c r="D1867" s="33" t="s">
        <v>169</v>
      </c>
      <c r="E1867" s="34" t="s">
        <v>170</v>
      </c>
      <c r="F1867" s="33" t="s">
        <v>163</v>
      </c>
    </row>
    <row r="1868" spans="1:6" ht="15" thickBot="1">
      <c r="A1868" s="31">
        <v>8183990</v>
      </c>
      <c r="B1868" s="32">
        <v>7000000</v>
      </c>
      <c r="C1868" s="33" t="s">
        <v>517</v>
      </c>
      <c r="D1868" s="33" t="s">
        <v>161</v>
      </c>
      <c r="E1868" s="33" t="s">
        <v>162</v>
      </c>
      <c r="F1868" s="33" t="s">
        <v>163</v>
      </c>
    </row>
    <row r="1869" spans="1:6" ht="15" thickBot="1">
      <c r="A1869" s="31">
        <v>8184028</v>
      </c>
      <c r="B1869" s="32">
        <v>25000</v>
      </c>
      <c r="C1869" s="33" t="s">
        <v>309</v>
      </c>
      <c r="D1869" s="33" t="s">
        <v>165</v>
      </c>
      <c r="E1869" s="33" t="s">
        <v>166</v>
      </c>
      <c r="F1869" s="33" t="s">
        <v>167</v>
      </c>
    </row>
    <row r="1870" spans="1:6" ht="15" thickBot="1">
      <c r="A1870" s="31">
        <v>8184045</v>
      </c>
      <c r="B1870" s="32">
        <v>52000000</v>
      </c>
      <c r="C1870" s="33" t="s">
        <v>172</v>
      </c>
      <c r="D1870" s="33" t="s">
        <v>169</v>
      </c>
      <c r="E1870" s="34" t="s">
        <v>170</v>
      </c>
      <c r="F1870" s="33" t="s">
        <v>163</v>
      </c>
    </row>
    <row r="1871" spans="1:6" ht="15" thickBot="1">
      <c r="A1871" s="31">
        <v>8184155</v>
      </c>
      <c r="B1871" s="32">
        <v>55000</v>
      </c>
      <c r="C1871" s="33" t="s">
        <v>225</v>
      </c>
      <c r="D1871" s="33" t="s">
        <v>165</v>
      </c>
      <c r="E1871" s="33" t="s">
        <v>166</v>
      </c>
      <c r="F1871" s="33" t="s">
        <v>167</v>
      </c>
    </row>
    <row r="1872" spans="1:6" ht="15" thickBot="1">
      <c r="A1872" s="31">
        <v>8184267</v>
      </c>
      <c r="B1872" s="32">
        <v>110000000</v>
      </c>
      <c r="C1872" s="33" t="s">
        <v>202</v>
      </c>
      <c r="D1872" s="33" t="s">
        <v>174</v>
      </c>
      <c r="E1872" s="33" t="s">
        <v>166</v>
      </c>
      <c r="F1872" s="33" t="s">
        <v>163</v>
      </c>
    </row>
    <row r="1873" spans="1:6" ht="15" thickBot="1">
      <c r="A1873" s="31">
        <v>8184435</v>
      </c>
      <c r="B1873" s="32">
        <v>13000000</v>
      </c>
      <c r="C1873" s="33" t="s">
        <v>207</v>
      </c>
      <c r="D1873" s="33" t="s">
        <v>169</v>
      </c>
      <c r="E1873" s="34" t="s">
        <v>170</v>
      </c>
      <c r="F1873" s="33" t="s">
        <v>163</v>
      </c>
    </row>
    <row r="1874" spans="1:6" ht="15" thickBot="1">
      <c r="A1874" s="31">
        <v>8184446</v>
      </c>
      <c r="B1874" s="32">
        <v>31000000</v>
      </c>
      <c r="C1874" s="33" t="s">
        <v>518</v>
      </c>
      <c r="D1874" s="33" t="s">
        <v>174</v>
      </c>
      <c r="E1874" s="33" t="s">
        <v>166</v>
      </c>
      <c r="F1874" s="33" t="s">
        <v>163</v>
      </c>
    </row>
    <row r="1875" spans="1:6" ht="15" thickBot="1">
      <c r="A1875" s="31">
        <v>8184549</v>
      </c>
      <c r="B1875" s="32">
        <v>18000000</v>
      </c>
      <c r="C1875" s="33" t="s">
        <v>518</v>
      </c>
      <c r="D1875" s="33" t="s">
        <v>174</v>
      </c>
      <c r="E1875" s="33" t="s">
        <v>166</v>
      </c>
      <c r="F1875" s="33" t="s">
        <v>163</v>
      </c>
    </row>
    <row r="1876" spans="1:6" ht="15" thickBot="1">
      <c r="A1876" s="31">
        <v>8184626</v>
      </c>
      <c r="B1876" s="32">
        <v>29000000</v>
      </c>
      <c r="C1876" s="33" t="s">
        <v>518</v>
      </c>
      <c r="D1876" s="33" t="s">
        <v>174</v>
      </c>
      <c r="E1876" s="33" t="s">
        <v>166</v>
      </c>
      <c r="F1876" s="33" t="s">
        <v>163</v>
      </c>
    </row>
    <row r="1877" spans="1:6" ht="15" thickBot="1">
      <c r="A1877" s="31">
        <v>8184730</v>
      </c>
      <c r="B1877" s="32">
        <v>15000000</v>
      </c>
      <c r="C1877" s="33" t="s">
        <v>519</v>
      </c>
      <c r="D1877" s="33" t="s">
        <v>165</v>
      </c>
      <c r="E1877" s="33" t="s">
        <v>166</v>
      </c>
      <c r="F1877" s="33" t="s">
        <v>163</v>
      </c>
    </row>
    <row r="1878" spans="1:6" ht="15" thickBot="1">
      <c r="A1878" s="31">
        <v>8184955</v>
      </c>
      <c r="B1878" s="32">
        <v>32500000</v>
      </c>
      <c r="C1878" s="33" t="s">
        <v>171</v>
      </c>
      <c r="D1878" s="33" t="s">
        <v>161</v>
      </c>
      <c r="E1878" s="33" t="s">
        <v>162</v>
      </c>
      <c r="F1878" s="33" t="s">
        <v>163</v>
      </c>
    </row>
    <row r="1879" spans="1:6" ht="15" thickBot="1">
      <c r="A1879" s="31">
        <v>8184964</v>
      </c>
      <c r="B1879" s="32">
        <v>20000000</v>
      </c>
      <c r="C1879" s="33" t="s">
        <v>204</v>
      </c>
      <c r="D1879" s="33" t="s">
        <v>174</v>
      </c>
      <c r="E1879" s="33" t="s">
        <v>166</v>
      </c>
      <c r="F1879" s="33" t="s">
        <v>163</v>
      </c>
    </row>
    <row r="1880" spans="1:6" ht="15" thickBot="1">
      <c r="A1880" s="31">
        <v>8184979</v>
      </c>
      <c r="B1880" s="32">
        <v>18000000</v>
      </c>
      <c r="C1880" s="33" t="s">
        <v>196</v>
      </c>
      <c r="D1880" s="33" t="s">
        <v>161</v>
      </c>
      <c r="E1880" s="33" t="s">
        <v>162</v>
      </c>
      <c r="F1880" s="33" t="s">
        <v>163</v>
      </c>
    </row>
    <row r="1881" spans="1:6" ht="15" thickBot="1">
      <c r="A1881" s="31">
        <v>8185052</v>
      </c>
      <c r="B1881" s="32">
        <v>4450000</v>
      </c>
      <c r="C1881" s="33" t="s">
        <v>205</v>
      </c>
      <c r="D1881" s="33" t="s">
        <v>161</v>
      </c>
      <c r="E1881" s="33" t="s">
        <v>162</v>
      </c>
      <c r="F1881" s="33" t="s">
        <v>163</v>
      </c>
    </row>
    <row r="1882" spans="1:6" ht="15" thickBot="1">
      <c r="A1882" s="31">
        <v>8185072</v>
      </c>
      <c r="B1882" s="32">
        <v>18000000</v>
      </c>
      <c r="C1882" s="33" t="s">
        <v>327</v>
      </c>
      <c r="D1882" s="33" t="s">
        <v>174</v>
      </c>
      <c r="E1882" s="33" t="s">
        <v>166</v>
      </c>
      <c r="F1882" s="33" t="s">
        <v>163</v>
      </c>
    </row>
    <row r="1883" spans="1:6" ht="15" thickBot="1">
      <c r="A1883" s="31">
        <v>8185103</v>
      </c>
      <c r="B1883" s="32">
        <v>14300000</v>
      </c>
      <c r="C1883" s="33" t="s">
        <v>171</v>
      </c>
      <c r="D1883" s="33" t="s">
        <v>161</v>
      </c>
      <c r="E1883" s="33" t="s">
        <v>162</v>
      </c>
      <c r="F1883" s="33" t="s">
        <v>163</v>
      </c>
    </row>
    <row r="1884" spans="1:6" ht="15" thickBot="1">
      <c r="A1884" s="31">
        <v>8185197</v>
      </c>
      <c r="B1884" s="32">
        <v>58000000</v>
      </c>
      <c r="C1884" s="33" t="s">
        <v>309</v>
      </c>
      <c r="D1884" s="33" t="s">
        <v>165</v>
      </c>
      <c r="E1884" s="33" t="s">
        <v>166</v>
      </c>
      <c r="F1884" s="33" t="s">
        <v>163</v>
      </c>
    </row>
    <row r="1885" spans="1:6" ht="15" thickBot="1">
      <c r="A1885" s="31">
        <v>8185244</v>
      </c>
      <c r="B1885" s="32">
        <v>165000</v>
      </c>
      <c r="C1885" s="33" t="s">
        <v>177</v>
      </c>
      <c r="D1885" s="33" t="s">
        <v>161</v>
      </c>
      <c r="E1885" s="33" t="s">
        <v>162</v>
      </c>
      <c r="F1885" s="33" t="s">
        <v>167</v>
      </c>
    </row>
    <row r="1886" spans="1:6" ht="15" thickBot="1">
      <c r="A1886" s="31">
        <v>8185323</v>
      </c>
      <c r="B1886" s="32">
        <v>325000</v>
      </c>
      <c r="C1886" s="33" t="s">
        <v>177</v>
      </c>
      <c r="D1886" s="33" t="s">
        <v>161</v>
      </c>
      <c r="E1886" s="33" t="s">
        <v>162</v>
      </c>
      <c r="F1886" s="33" t="s">
        <v>167</v>
      </c>
    </row>
    <row r="1887" spans="1:6" ht="15" thickBot="1">
      <c r="A1887" s="31">
        <v>8185367</v>
      </c>
      <c r="B1887" s="32">
        <v>6000000</v>
      </c>
      <c r="C1887" s="33" t="s">
        <v>263</v>
      </c>
      <c r="D1887" s="33" t="s">
        <v>161</v>
      </c>
      <c r="E1887" s="33" t="s">
        <v>162</v>
      </c>
      <c r="F1887" s="33" t="s">
        <v>163</v>
      </c>
    </row>
    <row r="1888" spans="1:6" ht="29" thickBot="1">
      <c r="A1888" s="31">
        <v>8185419</v>
      </c>
      <c r="B1888" s="32">
        <v>3900000</v>
      </c>
      <c r="C1888" s="33" t="s">
        <v>229</v>
      </c>
      <c r="D1888" s="33" t="s">
        <v>161</v>
      </c>
      <c r="E1888" s="33" t="s">
        <v>162</v>
      </c>
      <c r="F1888" s="33" t="s">
        <v>163</v>
      </c>
    </row>
    <row r="1889" spans="1:6" ht="15" thickBot="1">
      <c r="A1889" s="31">
        <v>8185466</v>
      </c>
      <c r="B1889" s="32">
        <v>68000000</v>
      </c>
      <c r="C1889" s="33" t="s">
        <v>160</v>
      </c>
      <c r="D1889" s="33" t="s">
        <v>161</v>
      </c>
      <c r="E1889" s="33" t="s">
        <v>162</v>
      </c>
      <c r="F1889" s="33" t="s">
        <v>163</v>
      </c>
    </row>
    <row r="1890" spans="1:6" ht="15" thickBot="1">
      <c r="A1890" s="31">
        <v>8185548</v>
      </c>
      <c r="B1890" s="32">
        <v>650000</v>
      </c>
      <c r="C1890" s="33" t="s">
        <v>177</v>
      </c>
      <c r="D1890" s="33" t="s">
        <v>161</v>
      </c>
      <c r="E1890" s="33" t="s">
        <v>162</v>
      </c>
      <c r="F1890" s="33" t="s">
        <v>167</v>
      </c>
    </row>
    <row r="1891" spans="1:6" ht="15" thickBot="1">
      <c r="A1891" s="31">
        <v>8185957</v>
      </c>
      <c r="B1891" s="32">
        <v>12000000</v>
      </c>
      <c r="C1891" s="33" t="s">
        <v>184</v>
      </c>
      <c r="D1891" s="33" t="s">
        <v>161</v>
      </c>
      <c r="E1891" s="33" t="s">
        <v>162</v>
      </c>
      <c r="F1891" s="33" t="s">
        <v>163</v>
      </c>
    </row>
    <row r="1892" spans="1:6" ht="15" thickBot="1">
      <c r="A1892" s="31">
        <v>8185999</v>
      </c>
      <c r="B1892" s="32">
        <v>4500000</v>
      </c>
      <c r="C1892" s="33" t="s">
        <v>520</v>
      </c>
      <c r="D1892" s="33" t="s">
        <v>165</v>
      </c>
      <c r="E1892" s="33" t="s">
        <v>166</v>
      </c>
      <c r="F1892" s="33" t="s">
        <v>163</v>
      </c>
    </row>
    <row r="1893" spans="1:6" ht="15" thickBot="1">
      <c r="A1893" s="31">
        <v>8186210</v>
      </c>
      <c r="B1893" s="32">
        <v>13000000</v>
      </c>
      <c r="C1893" s="33" t="s">
        <v>391</v>
      </c>
      <c r="D1893" s="33" t="s">
        <v>165</v>
      </c>
      <c r="E1893" s="33" t="s">
        <v>166</v>
      </c>
      <c r="F1893" s="33" t="s">
        <v>163</v>
      </c>
    </row>
    <row r="1894" spans="1:6" ht="15" thickBot="1">
      <c r="A1894" s="31">
        <v>8186562</v>
      </c>
      <c r="B1894" s="32">
        <v>2600000</v>
      </c>
      <c r="C1894" s="33" t="s">
        <v>521</v>
      </c>
      <c r="D1894" s="33" t="s">
        <v>200</v>
      </c>
      <c r="E1894" s="33" t="s">
        <v>166</v>
      </c>
      <c r="F1894" s="33" t="s">
        <v>163</v>
      </c>
    </row>
    <row r="1895" spans="1:6" ht="15" thickBot="1">
      <c r="A1895" s="31">
        <v>8186865</v>
      </c>
      <c r="B1895" s="32">
        <v>20000</v>
      </c>
      <c r="C1895" s="33" t="s">
        <v>171</v>
      </c>
      <c r="D1895" s="33" t="s">
        <v>161</v>
      </c>
      <c r="E1895" s="33" t="s">
        <v>162</v>
      </c>
      <c r="F1895" s="33" t="s">
        <v>167</v>
      </c>
    </row>
    <row r="1896" spans="1:6" ht="15" thickBot="1">
      <c r="A1896" s="31">
        <v>8188596</v>
      </c>
      <c r="B1896" s="32">
        <v>4200000</v>
      </c>
      <c r="C1896" s="33" t="s">
        <v>211</v>
      </c>
      <c r="D1896" s="33" t="s">
        <v>161</v>
      </c>
      <c r="E1896" s="33" t="s">
        <v>162</v>
      </c>
      <c r="F1896" s="33" t="s">
        <v>163</v>
      </c>
    </row>
    <row r="1897" spans="1:6" ht="15" thickBot="1">
      <c r="A1897" s="31">
        <v>8189197</v>
      </c>
      <c r="B1897" s="32">
        <v>5500000</v>
      </c>
      <c r="C1897" s="33" t="s">
        <v>187</v>
      </c>
      <c r="D1897" s="33" t="s">
        <v>161</v>
      </c>
      <c r="E1897" s="33" t="s">
        <v>162</v>
      </c>
      <c r="F1897" s="33" t="s">
        <v>163</v>
      </c>
    </row>
    <row r="1898" spans="1:6" ht="15" thickBot="1">
      <c r="A1898" s="31">
        <v>8189589</v>
      </c>
      <c r="B1898" s="32">
        <v>35000000</v>
      </c>
      <c r="C1898" s="33" t="s">
        <v>522</v>
      </c>
      <c r="D1898" s="33" t="s">
        <v>174</v>
      </c>
      <c r="E1898" s="33" t="s">
        <v>166</v>
      </c>
      <c r="F1898" s="33" t="s">
        <v>163</v>
      </c>
    </row>
    <row r="1899" spans="1:6" ht="29" thickBot="1">
      <c r="A1899" s="31">
        <v>8189983</v>
      </c>
      <c r="B1899" s="32">
        <v>11000000</v>
      </c>
      <c r="C1899" s="33" t="s">
        <v>523</v>
      </c>
      <c r="D1899" s="33" t="s">
        <v>174</v>
      </c>
      <c r="E1899" s="33" t="s">
        <v>166</v>
      </c>
      <c r="F1899" s="33" t="s">
        <v>163</v>
      </c>
    </row>
    <row r="1900" spans="1:6" ht="15" thickBot="1">
      <c r="A1900" s="31">
        <v>8192102</v>
      </c>
      <c r="B1900" s="32">
        <v>12500000</v>
      </c>
      <c r="C1900" s="33" t="s">
        <v>279</v>
      </c>
      <c r="D1900" s="33" t="s">
        <v>161</v>
      </c>
      <c r="E1900" s="33" t="s">
        <v>162</v>
      </c>
      <c r="F1900" s="33" t="s">
        <v>163</v>
      </c>
    </row>
    <row r="1901" spans="1:6" ht="15" thickBot="1">
      <c r="A1901" s="31">
        <v>8194969</v>
      </c>
      <c r="B1901" s="32">
        <v>12500000</v>
      </c>
      <c r="C1901" s="33" t="s">
        <v>524</v>
      </c>
      <c r="D1901" s="33" t="s">
        <v>200</v>
      </c>
      <c r="E1901" s="33" t="s">
        <v>166</v>
      </c>
      <c r="F1901" s="33" t="s">
        <v>163</v>
      </c>
    </row>
    <row r="1902" spans="1:6" ht="15" thickBot="1">
      <c r="A1902" s="31">
        <v>8194998</v>
      </c>
      <c r="B1902" s="32">
        <v>27100000</v>
      </c>
      <c r="C1902" s="33" t="s">
        <v>182</v>
      </c>
      <c r="D1902" s="33" t="s">
        <v>174</v>
      </c>
      <c r="E1902" s="33" t="s">
        <v>166</v>
      </c>
      <c r="F1902" s="33" t="s">
        <v>163</v>
      </c>
    </row>
    <row r="1903" spans="1:6" ht="15" thickBot="1">
      <c r="A1903" s="31">
        <v>8195658</v>
      </c>
      <c r="B1903" s="32">
        <v>3500000</v>
      </c>
      <c r="C1903" s="33" t="s">
        <v>516</v>
      </c>
      <c r="D1903" s="33" t="s">
        <v>200</v>
      </c>
      <c r="E1903" s="33" t="s">
        <v>166</v>
      </c>
      <c r="F1903" s="33" t="s">
        <v>163</v>
      </c>
    </row>
    <row r="1904" spans="1:6" ht="15" thickBot="1">
      <c r="A1904" s="31">
        <v>8197707</v>
      </c>
      <c r="B1904" s="32">
        <v>39500000</v>
      </c>
      <c r="C1904" s="33" t="s">
        <v>177</v>
      </c>
      <c r="D1904" s="33" t="s">
        <v>174</v>
      </c>
      <c r="E1904" s="33" t="s">
        <v>166</v>
      </c>
      <c r="F1904" s="33" t="s">
        <v>163</v>
      </c>
    </row>
    <row r="1905" spans="1:6" ht="15" thickBot="1">
      <c r="A1905" s="31">
        <v>8199700</v>
      </c>
      <c r="B1905" s="32">
        <v>6400000</v>
      </c>
      <c r="C1905" s="33" t="s">
        <v>525</v>
      </c>
      <c r="D1905" s="33" t="s">
        <v>174</v>
      </c>
      <c r="E1905" s="33" t="s">
        <v>166</v>
      </c>
      <c r="F1905" s="33" t="s">
        <v>163</v>
      </c>
    </row>
    <row r="1906" spans="1:6" ht="15" thickBot="1">
      <c r="A1906" s="31">
        <v>8201454</v>
      </c>
      <c r="B1906" s="32">
        <v>45000000</v>
      </c>
      <c r="C1906" s="33" t="s">
        <v>177</v>
      </c>
      <c r="D1906" s="33" t="s">
        <v>174</v>
      </c>
      <c r="E1906" s="33" t="s">
        <v>166</v>
      </c>
      <c r="F1906" s="33" t="s">
        <v>163</v>
      </c>
    </row>
    <row r="1907" spans="1:6" ht="15" thickBot="1">
      <c r="A1907" s="31">
        <v>8201630</v>
      </c>
      <c r="B1907" s="32">
        <v>105000</v>
      </c>
      <c r="C1907" s="33" t="s">
        <v>196</v>
      </c>
      <c r="D1907" s="33" t="s">
        <v>161</v>
      </c>
      <c r="E1907" s="33" t="s">
        <v>162</v>
      </c>
      <c r="F1907" s="33" t="s">
        <v>167</v>
      </c>
    </row>
    <row r="1908" spans="1:6" ht="15" thickBot="1">
      <c r="A1908" s="31">
        <v>8201731</v>
      </c>
      <c r="B1908" s="32">
        <v>4000000</v>
      </c>
      <c r="C1908" s="33" t="s">
        <v>279</v>
      </c>
      <c r="D1908" s="33" t="s">
        <v>161</v>
      </c>
      <c r="E1908" s="33" t="s">
        <v>162</v>
      </c>
      <c r="F1908" s="33" t="s">
        <v>163</v>
      </c>
    </row>
    <row r="1909" spans="1:6" ht="15" thickBot="1">
      <c r="A1909" s="31">
        <v>8202061</v>
      </c>
      <c r="B1909" s="32">
        <v>20500000</v>
      </c>
      <c r="C1909" s="33" t="s">
        <v>206</v>
      </c>
      <c r="D1909" s="33" t="s">
        <v>174</v>
      </c>
      <c r="E1909" s="33" t="s">
        <v>166</v>
      </c>
      <c r="F1909" s="33" t="s">
        <v>163</v>
      </c>
    </row>
    <row r="1910" spans="1:6" ht="15" thickBot="1">
      <c r="A1910" s="31">
        <v>8203613</v>
      </c>
      <c r="B1910" s="32">
        <v>5000000</v>
      </c>
      <c r="C1910" s="33" t="s">
        <v>164</v>
      </c>
      <c r="D1910" s="33" t="s">
        <v>165</v>
      </c>
      <c r="E1910" s="33" t="s">
        <v>166</v>
      </c>
      <c r="F1910" s="33" t="s">
        <v>163</v>
      </c>
    </row>
    <row r="1911" spans="1:6" ht="15" thickBot="1">
      <c r="A1911" s="31">
        <v>8204337</v>
      </c>
      <c r="B1911" s="32">
        <v>60000</v>
      </c>
      <c r="C1911" s="33" t="s">
        <v>282</v>
      </c>
      <c r="D1911" s="33" t="s">
        <v>161</v>
      </c>
      <c r="E1911" s="33" t="s">
        <v>162</v>
      </c>
      <c r="F1911" s="33" t="s">
        <v>167</v>
      </c>
    </row>
    <row r="1912" spans="1:6" ht="15" thickBot="1">
      <c r="A1912" s="31">
        <v>8204853</v>
      </c>
      <c r="B1912" s="32">
        <v>6300000</v>
      </c>
      <c r="C1912" s="33" t="s">
        <v>526</v>
      </c>
      <c r="D1912" s="33" t="s">
        <v>169</v>
      </c>
      <c r="E1912" s="34" t="s">
        <v>170</v>
      </c>
      <c r="F1912" s="33" t="s">
        <v>163</v>
      </c>
    </row>
    <row r="1913" spans="1:6" ht="15" thickBot="1">
      <c r="A1913" s="31">
        <v>8205251</v>
      </c>
      <c r="B1913" s="32">
        <v>13500000</v>
      </c>
      <c r="C1913" s="33" t="s">
        <v>171</v>
      </c>
      <c r="D1913" s="33" t="s">
        <v>161</v>
      </c>
      <c r="E1913" s="33" t="s">
        <v>162</v>
      </c>
      <c r="F1913" s="33" t="s">
        <v>163</v>
      </c>
    </row>
    <row r="1914" spans="1:6" ht="15" thickBot="1">
      <c r="A1914" s="31">
        <v>8207167</v>
      </c>
      <c r="B1914" s="32">
        <v>15000000</v>
      </c>
      <c r="C1914" s="33" t="s">
        <v>482</v>
      </c>
      <c r="D1914" s="33" t="s">
        <v>174</v>
      </c>
      <c r="E1914" s="33" t="s">
        <v>166</v>
      </c>
      <c r="F1914" s="33" t="s">
        <v>163</v>
      </c>
    </row>
    <row r="1915" spans="1:6" ht="15" thickBot="1">
      <c r="A1915" s="31">
        <v>8207622</v>
      </c>
      <c r="B1915" s="32">
        <v>3500000</v>
      </c>
      <c r="C1915" s="33" t="s">
        <v>171</v>
      </c>
      <c r="D1915" s="33" t="s">
        <v>161</v>
      </c>
      <c r="E1915" s="33" t="s">
        <v>162</v>
      </c>
      <c r="F1915" s="33" t="s">
        <v>163</v>
      </c>
    </row>
    <row r="1916" spans="1:6" ht="15" thickBot="1">
      <c r="A1916" s="31">
        <v>8209785</v>
      </c>
      <c r="B1916" s="32">
        <v>16500000</v>
      </c>
      <c r="C1916" s="33" t="s">
        <v>177</v>
      </c>
      <c r="D1916" s="33" t="s">
        <v>169</v>
      </c>
      <c r="E1916" s="34" t="s">
        <v>170</v>
      </c>
      <c r="F1916" s="33" t="s">
        <v>163</v>
      </c>
    </row>
    <row r="1917" spans="1:6" ht="15" thickBot="1">
      <c r="A1917" s="31">
        <v>8210462</v>
      </c>
      <c r="B1917" s="32">
        <v>11000000</v>
      </c>
      <c r="C1917" s="33" t="s">
        <v>527</v>
      </c>
      <c r="D1917" s="33" t="s">
        <v>174</v>
      </c>
      <c r="E1917" s="33" t="s">
        <v>166</v>
      </c>
      <c r="F1917" s="33" t="s">
        <v>163</v>
      </c>
    </row>
    <row r="1918" spans="1:6" ht="15" thickBot="1">
      <c r="A1918" s="31">
        <v>8211037</v>
      </c>
      <c r="B1918" s="32">
        <v>15000000</v>
      </c>
      <c r="C1918" s="33" t="s">
        <v>190</v>
      </c>
      <c r="D1918" s="33" t="s">
        <v>169</v>
      </c>
      <c r="E1918" s="34" t="s">
        <v>170</v>
      </c>
      <c r="F1918" s="33" t="s">
        <v>163</v>
      </c>
    </row>
    <row r="1919" spans="1:6" ht="15" thickBot="1">
      <c r="A1919" s="31">
        <v>8212215</v>
      </c>
      <c r="B1919" s="32">
        <v>100000</v>
      </c>
      <c r="C1919" s="33" t="s">
        <v>180</v>
      </c>
      <c r="D1919" s="33" t="s">
        <v>165</v>
      </c>
      <c r="E1919" s="33" t="s">
        <v>166</v>
      </c>
      <c r="F1919" s="33" t="s">
        <v>167</v>
      </c>
    </row>
    <row r="1920" spans="1:6" ht="15" thickBot="1">
      <c r="A1920" s="31">
        <v>8212395</v>
      </c>
      <c r="B1920" s="32">
        <v>9000000</v>
      </c>
      <c r="C1920" s="33" t="s">
        <v>173</v>
      </c>
      <c r="D1920" s="33" t="s">
        <v>174</v>
      </c>
      <c r="E1920" s="33" t="s">
        <v>166</v>
      </c>
      <c r="F1920" s="33" t="s">
        <v>163</v>
      </c>
    </row>
    <row r="1921" spans="1:6" ht="15" thickBot="1">
      <c r="A1921" s="31">
        <v>8214331</v>
      </c>
      <c r="B1921" s="32">
        <v>25000</v>
      </c>
      <c r="C1921" s="33" t="s">
        <v>240</v>
      </c>
      <c r="D1921" s="33" t="s">
        <v>200</v>
      </c>
      <c r="E1921" s="33" t="s">
        <v>166</v>
      </c>
      <c r="F1921" s="33" t="s">
        <v>167</v>
      </c>
    </row>
    <row r="1922" spans="1:6" ht="15" thickBot="1">
      <c r="A1922" s="31">
        <v>8214440</v>
      </c>
      <c r="B1922" s="32">
        <v>17000</v>
      </c>
      <c r="C1922" s="33" t="s">
        <v>438</v>
      </c>
      <c r="D1922" s="33" t="s">
        <v>200</v>
      </c>
      <c r="E1922" s="33" t="s">
        <v>166</v>
      </c>
      <c r="F1922" s="33" t="s">
        <v>167</v>
      </c>
    </row>
    <row r="1923" spans="1:6" ht="15" thickBot="1">
      <c r="A1923" s="31">
        <v>8214548</v>
      </c>
      <c r="B1923" s="32">
        <v>36000000</v>
      </c>
      <c r="C1923" s="33" t="s">
        <v>172</v>
      </c>
      <c r="D1923" s="33" t="s">
        <v>169</v>
      </c>
      <c r="E1923" s="34" t="s">
        <v>170</v>
      </c>
      <c r="F1923" s="33" t="s">
        <v>163</v>
      </c>
    </row>
    <row r="1924" spans="1:6" ht="15" thickBot="1">
      <c r="A1924" s="31">
        <v>8214648</v>
      </c>
      <c r="B1924" s="32">
        <v>12000</v>
      </c>
      <c r="C1924" s="33" t="s">
        <v>438</v>
      </c>
      <c r="D1924" s="33" t="s">
        <v>200</v>
      </c>
      <c r="E1924" s="33" t="s">
        <v>166</v>
      </c>
      <c r="F1924" s="33" t="s">
        <v>167</v>
      </c>
    </row>
    <row r="1925" spans="1:6" ht="15" thickBot="1">
      <c r="A1925" s="31">
        <v>8214713</v>
      </c>
      <c r="B1925" s="32">
        <v>70000</v>
      </c>
      <c r="C1925" s="33" t="s">
        <v>240</v>
      </c>
      <c r="D1925" s="33" t="s">
        <v>200</v>
      </c>
      <c r="E1925" s="33" t="s">
        <v>166</v>
      </c>
      <c r="F1925" s="33" t="s">
        <v>167</v>
      </c>
    </row>
    <row r="1926" spans="1:6" ht="15" thickBot="1">
      <c r="A1926" s="31">
        <v>8214841</v>
      </c>
      <c r="B1926" s="32">
        <v>17000</v>
      </c>
      <c r="C1926" s="33" t="s">
        <v>528</v>
      </c>
      <c r="D1926" s="33" t="s">
        <v>200</v>
      </c>
      <c r="E1926" s="33" t="s">
        <v>166</v>
      </c>
      <c r="F1926" s="33" t="s">
        <v>167</v>
      </c>
    </row>
    <row r="1927" spans="1:6" ht="15" thickBot="1">
      <c r="A1927" s="31">
        <v>8214876</v>
      </c>
      <c r="B1927" s="32">
        <v>3200000</v>
      </c>
      <c r="C1927" s="33" t="s">
        <v>529</v>
      </c>
      <c r="D1927" s="33" t="s">
        <v>200</v>
      </c>
      <c r="E1927" s="33" t="s">
        <v>166</v>
      </c>
      <c r="F1927" s="33" t="s">
        <v>163</v>
      </c>
    </row>
    <row r="1928" spans="1:6" ht="15" thickBot="1">
      <c r="A1928" s="31">
        <v>8215758</v>
      </c>
      <c r="B1928" s="32">
        <v>27500000</v>
      </c>
      <c r="C1928" s="33" t="s">
        <v>208</v>
      </c>
      <c r="D1928" s="33" t="s">
        <v>174</v>
      </c>
      <c r="E1928" s="33" t="s">
        <v>166</v>
      </c>
      <c r="F1928" s="33" t="s">
        <v>163</v>
      </c>
    </row>
    <row r="1929" spans="1:6" ht="15" thickBot="1">
      <c r="A1929" s="31">
        <v>8216231</v>
      </c>
      <c r="B1929" s="32">
        <v>23500000</v>
      </c>
      <c r="C1929" s="33" t="s">
        <v>180</v>
      </c>
      <c r="D1929" s="33" t="s">
        <v>165</v>
      </c>
      <c r="E1929" s="33" t="s">
        <v>166</v>
      </c>
      <c r="F1929" s="33" t="s">
        <v>163</v>
      </c>
    </row>
    <row r="1930" spans="1:6" ht="29" thickBot="1">
      <c r="A1930" s="31">
        <v>8217703</v>
      </c>
      <c r="B1930" s="32">
        <v>42500000</v>
      </c>
      <c r="C1930" s="33" t="s">
        <v>530</v>
      </c>
      <c r="D1930" s="33" t="s">
        <v>174</v>
      </c>
      <c r="E1930" s="33" t="s">
        <v>166</v>
      </c>
      <c r="F1930" s="33" t="s">
        <v>163</v>
      </c>
    </row>
    <row r="1931" spans="1:6" ht="15" thickBot="1">
      <c r="A1931" s="31">
        <v>8217881</v>
      </c>
      <c r="B1931" s="32">
        <v>28000</v>
      </c>
      <c r="C1931" s="33" t="s">
        <v>199</v>
      </c>
      <c r="D1931" s="33" t="s">
        <v>200</v>
      </c>
      <c r="E1931" s="33" t="s">
        <v>166</v>
      </c>
      <c r="F1931" s="33" t="s">
        <v>167</v>
      </c>
    </row>
    <row r="1932" spans="1:6" ht="15" thickBot="1">
      <c r="A1932" s="31">
        <v>8218642</v>
      </c>
      <c r="B1932" s="32">
        <v>6400000</v>
      </c>
      <c r="C1932" s="33" t="s">
        <v>221</v>
      </c>
      <c r="D1932" s="33" t="s">
        <v>169</v>
      </c>
      <c r="E1932" s="34" t="s">
        <v>170</v>
      </c>
      <c r="F1932" s="33" t="s">
        <v>163</v>
      </c>
    </row>
    <row r="1933" spans="1:6" ht="15" thickBot="1">
      <c r="A1933" s="31">
        <v>8218853</v>
      </c>
      <c r="B1933" s="32">
        <v>23000000</v>
      </c>
      <c r="C1933" s="33" t="s">
        <v>198</v>
      </c>
      <c r="D1933" s="33" t="s">
        <v>169</v>
      </c>
      <c r="E1933" s="34" t="s">
        <v>170</v>
      </c>
      <c r="F1933" s="33" t="s">
        <v>163</v>
      </c>
    </row>
    <row r="1934" spans="1:6" ht="15" thickBot="1">
      <c r="A1934" s="31">
        <v>8218867</v>
      </c>
      <c r="B1934" s="32">
        <v>2800000</v>
      </c>
      <c r="C1934" s="33" t="s">
        <v>517</v>
      </c>
      <c r="D1934" s="33" t="s">
        <v>161</v>
      </c>
      <c r="E1934" s="33" t="s">
        <v>162</v>
      </c>
      <c r="F1934" s="33" t="s">
        <v>163</v>
      </c>
    </row>
    <row r="1935" spans="1:6" ht="15" thickBot="1">
      <c r="A1935" s="31">
        <v>8219166</v>
      </c>
      <c r="B1935" s="32">
        <v>6900000</v>
      </c>
      <c r="C1935" s="33" t="s">
        <v>196</v>
      </c>
      <c r="D1935" s="33" t="s">
        <v>161</v>
      </c>
      <c r="E1935" s="33" t="s">
        <v>162</v>
      </c>
      <c r="F1935" s="33" t="s">
        <v>163</v>
      </c>
    </row>
    <row r="1936" spans="1:6" ht="15" thickBot="1">
      <c r="A1936" s="31">
        <v>8219174</v>
      </c>
      <c r="B1936" s="32">
        <v>9000000</v>
      </c>
      <c r="C1936" s="33" t="s">
        <v>298</v>
      </c>
      <c r="D1936" s="33" t="s">
        <v>174</v>
      </c>
      <c r="E1936" s="33" t="s">
        <v>166</v>
      </c>
      <c r="F1936" s="33" t="s">
        <v>163</v>
      </c>
    </row>
    <row r="1937" spans="1:6" ht="15" thickBot="1">
      <c r="A1937" s="31">
        <v>8219652</v>
      </c>
      <c r="B1937" s="32">
        <v>4900000</v>
      </c>
      <c r="C1937" s="33" t="s">
        <v>172</v>
      </c>
      <c r="D1937" s="33" t="s">
        <v>169</v>
      </c>
      <c r="E1937" s="34" t="s">
        <v>170</v>
      </c>
      <c r="F1937" s="33" t="s">
        <v>163</v>
      </c>
    </row>
    <row r="1938" spans="1:6" ht="15" thickBot="1">
      <c r="A1938" s="31">
        <v>8219689</v>
      </c>
      <c r="B1938" s="32">
        <v>2800000</v>
      </c>
      <c r="C1938" s="33" t="s">
        <v>172</v>
      </c>
      <c r="D1938" s="33" t="s">
        <v>169</v>
      </c>
      <c r="E1938" s="34" t="s">
        <v>170</v>
      </c>
      <c r="F1938" s="33" t="s">
        <v>163</v>
      </c>
    </row>
    <row r="1939" spans="1:6" ht="15" thickBot="1">
      <c r="A1939" s="31">
        <v>8219856</v>
      </c>
      <c r="B1939" s="32">
        <v>2000000</v>
      </c>
      <c r="C1939" s="33" t="s">
        <v>264</v>
      </c>
      <c r="D1939" s="33" t="s">
        <v>169</v>
      </c>
      <c r="E1939" s="34" t="s">
        <v>170</v>
      </c>
      <c r="F1939" s="33" t="s">
        <v>163</v>
      </c>
    </row>
    <row r="1940" spans="1:6" ht="15" thickBot="1">
      <c r="A1940" s="31">
        <v>8219902</v>
      </c>
      <c r="B1940" s="32">
        <v>19500000</v>
      </c>
      <c r="C1940" s="33" t="s">
        <v>309</v>
      </c>
      <c r="D1940" s="33" t="s">
        <v>165</v>
      </c>
      <c r="E1940" s="33" t="s">
        <v>166</v>
      </c>
      <c r="F1940" s="33" t="s">
        <v>163</v>
      </c>
    </row>
    <row r="1941" spans="1:6" ht="15" thickBot="1">
      <c r="A1941" s="31">
        <v>8219916</v>
      </c>
      <c r="B1941" s="32">
        <v>30000000</v>
      </c>
      <c r="C1941" s="33" t="s">
        <v>177</v>
      </c>
      <c r="D1941" s="33" t="s">
        <v>161</v>
      </c>
      <c r="E1941" s="33" t="s">
        <v>162</v>
      </c>
      <c r="F1941" s="33" t="s">
        <v>163</v>
      </c>
    </row>
    <row r="1942" spans="1:6" ht="29" thickBot="1">
      <c r="A1942" s="31">
        <v>8219983</v>
      </c>
      <c r="B1942" s="32">
        <v>50000000</v>
      </c>
      <c r="C1942" s="33" t="s">
        <v>425</v>
      </c>
      <c r="D1942" s="33" t="s">
        <v>169</v>
      </c>
      <c r="E1942" s="34" t="s">
        <v>170</v>
      </c>
      <c r="F1942" s="33" t="s">
        <v>163</v>
      </c>
    </row>
    <row r="1943" spans="1:6" ht="15" thickBot="1">
      <c r="A1943" s="31">
        <v>8219986</v>
      </c>
      <c r="B1943" s="32">
        <v>21500000</v>
      </c>
      <c r="C1943" s="33" t="s">
        <v>171</v>
      </c>
      <c r="D1943" s="33" t="s">
        <v>161</v>
      </c>
      <c r="E1943" s="33" t="s">
        <v>162</v>
      </c>
      <c r="F1943" s="33" t="s">
        <v>163</v>
      </c>
    </row>
    <row r="1944" spans="1:6" ht="15" thickBot="1">
      <c r="A1944" s="31">
        <v>8219987</v>
      </c>
      <c r="B1944" s="32">
        <v>300000</v>
      </c>
      <c r="C1944" s="33" t="s">
        <v>263</v>
      </c>
      <c r="D1944" s="33" t="s">
        <v>161</v>
      </c>
      <c r="E1944" s="33" t="s">
        <v>162</v>
      </c>
      <c r="F1944" s="33" t="s">
        <v>167</v>
      </c>
    </row>
    <row r="1945" spans="1:6" ht="15" thickBot="1">
      <c r="A1945" s="31">
        <v>8220224</v>
      </c>
      <c r="B1945" s="32">
        <v>21000000</v>
      </c>
      <c r="C1945" s="33" t="s">
        <v>190</v>
      </c>
      <c r="D1945" s="33" t="s">
        <v>169</v>
      </c>
      <c r="E1945" s="34" t="s">
        <v>170</v>
      </c>
      <c r="F1945" s="33" t="s">
        <v>163</v>
      </c>
    </row>
    <row r="1946" spans="1:6" ht="15" thickBot="1">
      <c r="A1946" s="31">
        <v>8220295</v>
      </c>
      <c r="B1946" s="32">
        <v>31000000</v>
      </c>
      <c r="C1946" s="33" t="s">
        <v>279</v>
      </c>
      <c r="D1946" s="33" t="s">
        <v>161</v>
      </c>
      <c r="E1946" s="33" t="s">
        <v>162</v>
      </c>
      <c r="F1946" s="33" t="s">
        <v>163</v>
      </c>
    </row>
    <row r="1947" spans="1:6" ht="15" thickBot="1">
      <c r="A1947" s="31">
        <v>8220521</v>
      </c>
      <c r="B1947" s="32">
        <v>33500000</v>
      </c>
      <c r="C1947" s="33" t="s">
        <v>206</v>
      </c>
      <c r="D1947" s="33" t="s">
        <v>174</v>
      </c>
      <c r="E1947" s="33" t="s">
        <v>166</v>
      </c>
      <c r="F1947" s="33" t="s">
        <v>163</v>
      </c>
    </row>
    <row r="1948" spans="1:6" ht="15" thickBot="1">
      <c r="A1948" s="31">
        <v>8220523</v>
      </c>
      <c r="B1948" s="32">
        <v>32500000</v>
      </c>
      <c r="C1948" s="33" t="s">
        <v>206</v>
      </c>
      <c r="D1948" s="33" t="s">
        <v>174</v>
      </c>
      <c r="E1948" s="33" t="s">
        <v>166</v>
      </c>
      <c r="F1948" s="33" t="s">
        <v>163</v>
      </c>
    </row>
    <row r="1949" spans="1:6" ht="15" thickBot="1">
      <c r="A1949" s="31">
        <v>8220534</v>
      </c>
      <c r="B1949" s="32">
        <v>5000000</v>
      </c>
      <c r="C1949" s="33" t="s">
        <v>205</v>
      </c>
      <c r="D1949" s="33" t="s">
        <v>161</v>
      </c>
      <c r="E1949" s="33" t="s">
        <v>162</v>
      </c>
      <c r="F1949" s="33" t="s">
        <v>163</v>
      </c>
    </row>
    <row r="1950" spans="1:6" ht="15" thickBot="1">
      <c r="A1950" s="31">
        <v>8220555</v>
      </c>
      <c r="B1950" s="32">
        <v>18000000</v>
      </c>
      <c r="C1950" s="33" t="s">
        <v>206</v>
      </c>
      <c r="D1950" s="33" t="s">
        <v>174</v>
      </c>
      <c r="E1950" s="33" t="s">
        <v>166</v>
      </c>
      <c r="F1950" s="33" t="s">
        <v>163</v>
      </c>
    </row>
    <row r="1951" spans="1:6" ht="15" thickBot="1">
      <c r="A1951" s="31">
        <v>8220640</v>
      </c>
      <c r="B1951" s="32">
        <v>23500000</v>
      </c>
      <c r="C1951" s="33" t="s">
        <v>205</v>
      </c>
      <c r="D1951" s="33" t="s">
        <v>161</v>
      </c>
      <c r="E1951" s="33" t="s">
        <v>162</v>
      </c>
      <c r="F1951" s="33" t="s">
        <v>163</v>
      </c>
    </row>
    <row r="1952" spans="1:6" ht="15" thickBot="1">
      <c r="A1952" s="31">
        <v>8220729</v>
      </c>
      <c r="B1952" s="32">
        <v>30000000</v>
      </c>
      <c r="C1952" s="33" t="s">
        <v>309</v>
      </c>
      <c r="D1952" s="33" t="s">
        <v>165</v>
      </c>
      <c r="E1952" s="33" t="s">
        <v>166</v>
      </c>
      <c r="F1952" s="33" t="s">
        <v>163</v>
      </c>
    </row>
    <row r="1953" spans="1:6" ht="15" thickBot="1">
      <c r="A1953" s="31">
        <v>8220798</v>
      </c>
      <c r="B1953" s="32">
        <v>52500000</v>
      </c>
      <c r="C1953" s="33" t="s">
        <v>196</v>
      </c>
      <c r="D1953" s="33" t="s">
        <v>161</v>
      </c>
      <c r="E1953" s="33" t="s">
        <v>162</v>
      </c>
      <c r="F1953" s="33" t="s">
        <v>163</v>
      </c>
    </row>
    <row r="1954" spans="1:6" ht="15" thickBot="1">
      <c r="A1954" s="31">
        <v>8220883</v>
      </c>
      <c r="B1954" s="32">
        <v>47000000</v>
      </c>
      <c r="C1954" s="33" t="s">
        <v>171</v>
      </c>
      <c r="D1954" s="33" t="s">
        <v>161</v>
      </c>
      <c r="E1954" s="33" t="s">
        <v>162</v>
      </c>
      <c r="F1954" s="33" t="s">
        <v>163</v>
      </c>
    </row>
    <row r="1955" spans="1:6" ht="15" thickBot="1">
      <c r="A1955" s="31">
        <v>8220896</v>
      </c>
      <c r="B1955" s="32">
        <v>3000000</v>
      </c>
      <c r="C1955" s="33" t="s">
        <v>171</v>
      </c>
      <c r="D1955" s="33" t="s">
        <v>161</v>
      </c>
      <c r="E1955" s="33" t="s">
        <v>162</v>
      </c>
      <c r="F1955" s="33" t="s">
        <v>163</v>
      </c>
    </row>
    <row r="1956" spans="1:6" ht="15" thickBot="1">
      <c r="A1956" s="31">
        <v>8220906</v>
      </c>
      <c r="B1956" s="32">
        <v>18000</v>
      </c>
      <c r="C1956" s="33" t="s">
        <v>531</v>
      </c>
      <c r="D1956" s="33" t="s">
        <v>165</v>
      </c>
      <c r="E1956" s="33" t="s">
        <v>166</v>
      </c>
      <c r="F1956" s="33" t="s">
        <v>167</v>
      </c>
    </row>
    <row r="1957" spans="1:6" ht="15" thickBot="1">
      <c r="A1957" s="31">
        <v>8221003</v>
      </c>
      <c r="B1957" s="32">
        <v>9800000</v>
      </c>
      <c r="C1957" s="33" t="s">
        <v>296</v>
      </c>
      <c r="D1957" s="33" t="s">
        <v>174</v>
      </c>
      <c r="E1957" s="33" t="s">
        <v>166</v>
      </c>
      <c r="F1957" s="33" t="s">
        <v>163</v>
      </c>
    </row>
    <row r="1958" spans="1:6" ht="15" thickBot="1">
      <c r="A1958" s="31">
        <v>8221584</v>
      </c>
      <c r="B1958" s="32">
        <v>5550000</v>
      </c>
      <c r="C1958" s="33" t="s">
        <v>242</v>
      </c>
      <c r="D1958" s="33" t="s">
        <v>174</v>
      </c>
      <c r="E1958" s="33" t="s">
        <v>166</v>
      </c>
      <c r="F1958" s="33" t="s">
        <v>163</v>
      </c>
    </row>
    <row r="1959" spans="1:6" ht="15" thickBot="1">
      <c r="A1959" s="31">
        <v>8222103</v>
      </c>
      <c r="B1959" s="32">
        <v>5000000</v>
      </c>
      <c r="C1959" s="33" t="s">
        <v>336</v>
      </c>
      <c r="D1959" s="33" t="s">
        <v>161</v>
      </c>
      <c r="E1959" s="33" t="s">
        <v>162</v>
      </c>
      <c r="F1959" s="33" t="s">
        <v>163</v>
      </c>
    </row>
    <row r="1960" spans="1:6" ht="15" thickBot="1">
      <c r="A1960" s="31">
        <v>8223899</v>
      </c>
      <c r="B1960" s="32">
        <v>6200000</v>
      </c>
      <c r="C1960" s="33" t="s">
        <v>171</v>
      </c>
      <c r="D1960" s="33" t="s">
        <v>161</v>
      </c>
      <c r="E1960" s="33" t="s">
        <v>162</v>
      </c>
      <c r="F1960" s="33" t="s">
        <v>163</v>
      </c>
    </row>
    <row r="1961" spans="1:6" ht="15" thickBot="1">
      <c r="A1961" s="31">
        <v>8224815</v>
      </c>
      <c r="B1961" s="32">
        <v>64000000</v>
      </c>
      <c r="C1961" s="33" t="s">
        <v>172</v>
      </c>
      <c r="D1961" s="33" t="s">
        <v>169</v>
      </c>
      <c r="E1961" s="34" t="s">
        <v>170</v>
      </c>
      <c r="F1961" s="33" t="s">
        <v>163</v>
      </c>
    </row>
    <row r="1962" spans="1:6" ht="15" thickBot="1">
      <c r="A1962" s="31">
        <v>8225502</v>
      </c>
      <c r="B1962" s="32">
        <v>17500000</v>
      </c>
      <c r="C1962" s="33" t="s">
        <v>171</v>
      </c>
      <c r="D1962" s="33" t="s">
        <v>161</v>
      </c>
      <c r="E1962" s="33" t="s">
        <v>162</v>
      </c>
      <c r="F1962" s="33" t="s">
        <v>163</v>
      </c>
    </row>
    <row r="1963" spans="1:6" ht="15" thickBot="1">
      <c r="A1963" s="31">
        <v>8225767</v>
      </c>
      <c r="B1963" s="32">
        <v>47500000</v>
      </c>
      <c r="C1963" s="33" t="s">
        <v>171</v>
      </c>
      <c r="D1963" s="33" t="s">
        <v>161</v>
      </c>
      <c r="E1963" s="33" t="s">
        <v>162</v>
      </c>
      <c r="F1963" s="33" t="s">
        <v>163</v>
      </c>
    </row>
    <row r="1964" spans="1:6" ht="15" thickBot="1">
      <c r="A1964" s="31">
        <v>8226358</v>
      </c>
      <c r="B1964" s="32">
        <v>130000000</v>
      </c>
      <c r="C1964" s="33" t="s">
        <v>177</v>
      </c>
      <c r="D1964" s="33" t="s">
        <v>174</v>
      </c>
      <c r="E1964" s="33" t="s">
        <v>166</v>
      </c>
      <c r="F1964" s="33" t="s">
        <v>163</v>
      </c>
    </row>
    <row r="1965" spans="1:6" ht="15" thickBot="1">
      <c r="A1965" s="31">
        <v>8227378</v>
      </c>
      <c r="B1965" s="32">
        <v>19000000</v>
      </c>
      <c r="C1965" s="33" t="s">
        <v>235</v>
      </c>
      <c r="D1965" s="33" t="s">
        <v>161</v>
      </c>
      <c r="E1965" s="33" t="s">
        <v>162</v>
      </c>
      <c r="F1965" s="33" t="s">
        <v>163</v>
      </c>
    </row>
    <row r="1966" spans="1:6" ht="15" thickBot="1">
      <c r="A1966" s="31">
        <v>8228115</v>
      </c>
      <c r="B1966" s="32">
        <v>150000</v>
      </c>
      <c r="C1966" s="33" t="s">
        <v>274</v>
      </c>
      <c r="D1966" s="33" t="s">
        <v>169</v>
      </c>
      <c r="E1966" s="34" t="s">
        <v>170</v>
      </c>
      <c r="F1966" s="33" t="s">
        <v>167</v>
      </c>
    </row>
    <row r="1967" spans="1:6" ht="15" thickBot="1">
      <c r="A1967" s="31">
        <v>8228714</v>
      </c>
      <c r="B1967" s="32">
        <v>35000</v>
      </c>
      <c r="C1967" s="33" t="s">
        <v>180</v>
      </c>
      <c r="D1967" s="33" t="s">
        <v>165</v>
      </c>
      <c r="E1967" s="33" t="s">
        <v>166</v>
      </c>
      <c r="F1967" s="33" t="s">
        <v>167</v>
      </c>
    </row>
    <row r="1968" spans="1:6" ht="15" thickBot="1">
      <c r="A1968" s="31">
        <v>8228750</v>
      </c>
      <c r="B1968" s="32">
        <v>25000000</v>
      </c>
      <c r="C1968" s="33" t="s">
        <v>201</v>
      </c>
      <c r="D1968" s="33" t="s">
        <v>169</v>
      </c>
      <c r="E1968" s="34" t="s">
        <v>170</v>
      </c>
      <c r="F1968" s="33" t="s">
        <v>163</v>
      </c>
    </row>
    <row r="1969" spans="1:6" ht="15" thickBot="1">
      <c r="A1969" s="31">
        <v>8228758</v>
      </c>
      <c r="B1969" s="32">
        <v>3600000</v>
      </c>
      <c r="C1969" s="33" t="s">
        <v>177</v>
      </c>
      <c r="D1969" s="33" t="s">
        <v>169</v>
      </c>
      <c r="E1969" s="34" t="s">
        <v>170</v>
      </c>
      <c r="F1969" s="33" t="s">
        <v>163</v>
      </c>
    </row>
    <row r="1970" spans="1:6" ht="15" thickBot="1">
      <c r="A1970" s="31">
        <v>8228975</v>
      </c>
      <c r="B1970" s="32">
        <v>13000000</v>
      </c>
      <c r="C1970" s="33" t="s">
        <v>384</v>
      </c>
      <c r="D1970" s="33" t="s">
        <v>174</v>
      </c>
      <c r="E1970" s="33" t="s">
        <v>166</v>
      </c>
      <c r="F1970" s="33" t="s">
        <v>163</v>
      </c>
    </row>
    <row r="1971" spans="1:6" ht="15" thickBot="1">
      <c r="A1971" s="31">
        <v>8228993</v>
      </c>
      <c r="B1971" s="32">
        <v>55000</v>
      </c>
      <c r="C1971" s="33" t="s">
        <v>532</v>
      </c>
      <c r="D1971" s="33" t="s">
        <v>200</v>
      </c>
      <c r="E1971" s="33" t="s">
        <v>166</v>
      </c>
      <c r="F1971" s="33" t="s">
        <v>167</v>
      </c>
    </row>
    <row r="1972" spans="1:6" ht="15" thickBot="1">
      <c r="A1972" s="31">
        <v>8229482</v>
      </c>
      <c r="B1972" s="32">
        <v>2800000</v>
      </c>
      <c r="C1972" s="33" t="s">
        <v>171</v>
      </c>
      <c r="D1972" s="33" t="s">
        <v>161</v>
      </c>
      <c r="E1972" s="33" t="s">
        <v>162</v>
      </c>
      <c r="F1972" s="33" t="s">
        <v>163</v>
      </c>
    </row>
    <row r="1973" spans="1:6" ht="15" thickBot="1">
      <c r="A1973" s="31">
        <v>8230860</v>
      </c>
      <c r="B1973" s="32">
        <v>60000000</v>
      </c>
      <c r="C1973" s="33" t="s">
        <v>177</v>
      </c>
      <c r="D1973" s="33" t="s">
        <v>161</v>
      </c>
      <c r="E1973" s="33" t="s">
        <v>162</v>
      </c>
      <c r="F1973" s="33" t="s">
        <v>163</v>
      </c>
    </row>
    <row r="1974" spans="1:6" ht="15" thickBot="1">
      <c r="A1974" s="31">
        <v>8230957</v>
      </c>
      <c r="B1974" s="32">
        <v>10500000</v>
      </c>
      <c r="C1974" s="33" t="s">
        <v>201</v>
      </c>
      <c r="D1974" s="33" t="s">
        <v>169</v>
      </c>
      <c r="E1974" s="34" t="s">
        <v>170</v>
      </c>
      <c r="F1974" s="33" t="s">
        <v>163</v>
      </c>
    </row>
    <row r="1975" spans="1:6" ht="15" thickBot="1">
      <c r="A1975" s="31">
        <v>8231006</v>
      </c>
      <c r="B1975" s="32">
        <v>30000</v>
      </c>
      <c r="C1975" s="33" t="s">
        <v>230</v>
      </c>
      <c r="D1975" s="33" t="s">
        <v>161</v>
      </c>
      <c r="E1975" s="33" t="s">
        <v>162</v>
      </c>
      <c r="F1975" s="33" t="s">
        <v>167</v>
      </c>
    </row>
    <row r="1976" spans="1:6" ht="15" thickBot="1">
      <c r="A1976" s="31">
        <v>8231152</v>
      </c>
      <c r="B1976" s="32">
        <v>100000000</v>
      </c>
      <c r="C1976" s="33" t="s">
        <v>202</v>
      </c>
      <c r="D1976" s="33" t="s">
        <v>174</v>
      </c>
      <c r="E1976" s="33" t="s">
        <v>166</v>
      </c>
      <c r="F1976" s="33" t="s">
        <v>163</v>
      </c>
    </row>
    <row r="1977" spans="1:6" ht="15" thickBot="1">
      <c r="A1977" s="31">
        <v>8231274</v>
      </c>
      <c r="B1977" s="32">
        <v>20000000</v>
      </c>
      <c r="C1977" s="33" t="s">
        <v>389</v>
      </c>
      <c r="D1977" s="33" t="s">
        <v>174</v>
      </c>
      <c r="E1977" s="33" t="s">
        <v>166</v>
      </c>
      <c r="F1977" s="33" t="s">
        <v>163</v>
      </c>
    </row>
    <row r="1978" spans="1:6" ht="15" thickBot="1">
      <c r="A1978" s="31">
        <v>8231542</v>
      </c>
      <c r="B1978" s="32">
        <v>1500000</v>
      </c>
      <c r="C1978" s="33" t="s">
        <v>335</v>
      </c>
      <c r="D1978" s="33" t="s">
        <v>165</v>
      </c>
      <c r="E1978" s="33" t="s">
        <v>166</v>
      </c>
      <c r="F1978" s="33" t="s">
        <v>163</v>
      </c>
    </row>
    <row r="1979" spans="1:6" ht="15" thickBot="1">
      <c r="A1979" s="31">
        <v>8232741</v>
      </c>
      <c r="B1979" s="32">
        <v>2500000</v>
      </c>
      <c r="C1979" s="33" t="s">
        <v>164</v>
      </c>
      <c r="D1979" s="33" t="s">
        <v>165</v>
      </c>
      <c r="E1979" s="33" t="s">
        <v>166</v>
      </c>
      <c r="F1979" s="33" t="s">
        <v>163</v>
      </c>
    </row>
    <row r="1980" spans="1:6" ht="29" thickBot="1">
      <c r="A1980" s="31">
        <v>8232802</v>
      </c>
      <c r="B1980" s="32">
        <v>7000000</v>
      </c>
      <c r="C1980" s="33" t="s">
        <v>436</v>
      </c>
      <c r="D1980" s="33" t="s">
        <v>165</v>
      </c>
      <c r="E1980" s="33" t="s">
        <v>166</v>
      </c>
      <c r="F1980" s="33" t="s">
        <v>163</v>
      </c>
    </row>
    <row r="1981" spans="1:6" ht="15" thickBot="1">
      <c r="A1981" s="31">
        <v>8233395</v>
      </c>
      <c r="B1981" s="32">
        <v>50000</v>
      </c>
      <c r="C1981" s="33" t="s">
        <v>180</v>
      </c>
      <c r="D1981" s="33" t="s">
        <v>165</v>
      </c>
      <c r="E1981" s="33" t="s">
        <v>166</v>
      </c>
      <c r="F1981" s="33" t="s">
        <v>167</v>
      </c>
    </row>
    <row r="1982" spans="1:6" ht="15" thickBot="1">
      <c r="A1982" s="31">
        <v>8233927</v>
      </c>
      <c r="B1982" s="32">
        <v>26000000</v>
      </c>
      <c r="C1982" s="33" t="s">
        <v>211</v>
      </c>
      <c r="D1982" s="33" t="s">
        <v>161</v>
      </c>
      <c r="E1982" s="33" t="s">
        <v>162</v>
      </c>
      <c r="F1982" s="33" t="s">
        <v>163</v>
      </c>
    </row>
    <row r="1983" spans="1:6" ht="15" thickBot="1">
      <c r="A1983" s="31">
        <v>8236918</v>
      </c>
      <c r="B1983" s="32">
        <v>5800000</v>
      </c>
      <c r="C1983" s="33" t="s">
        <v>520</v>
      </c>
      <c r="D1983" s="33" t="s">
        <v>165</v>
      </c>
      <c r="E1983" s="33" t="s">
        <v>166</v>
      </c>
      <c r="F1983" s="33" t="s">
        <v>163</v>
      </c>
    </row>
    <row r="1984" spans="1:6" ht="15" thickBot="1">
      <c r="A1984" s="31">
        <v>8237674</v>
      </c>
      <c r="B1984" s="32">
        <v>12600000</v>
      </c>
      <c r="C1984" s="33" t="s">
        <v>206</v>
      </c>
      <c r="D1984" s="33" t="s">
        <v>174</v>
      </c>
      <c r="E1984" s="33" t="s">
        <v>166</v>
      </c>
      <c r="F1984" s="33" t="s">
        <v>163</v>
      </c>
    </row>
    <row r="1985" spans="1:6" ht="15" thickBot="1">
      <c r="A1985" s="31">
        <v>8238266</v>
      </c>
      <c r="B1985" s="32">
        <v>200000</v>
      </c>
      <c r="C1985" s="33" t="s">
        <v>172</v>
      </c>
      <c r="D1985" s="33" t="s">
        <v>169</v>
      </c>
      <c r="E1985" s="34" t="s">
        <v>170</v>
      </c>
      <c r="F1985" s="33" t="s">
        <v>167</v>
      </c>
    </row>
    <row r="1986" spans="1:6" ht="15" thickBot="1">
      <c r="A1986" s="31">
        <v>8238521</v>
      </c>
      <c r="B1986" s="32">
        <v>23000000</v>
      </c>
      <c r="C1986" s="33" t="s">
        <v>180</v>
      </c>
      <c r="D1986" s="33" t="s">
        <v>165</v>
      </c>
      <c r="E1986" s="33" t="s">
        <v>166</v>
      </c>
      <c r="F1986" s="33" t="s">
        <v>163</v>
      </c>
    </row>
    <row r="1987" spans="1:6" ht="15" thickBot="1">
      <c r="A1987" s="31">
        <v>8238768</v>
      </c>
      <c r="B1987" s="32">
        <v>9500000</v>
      </c>
      <c r="C1987" s="33" t="s">
        <v>199</v>
      </c>
      <c r="D1987" s="33" t="s">
        <v>165</v>
      </c>
      <c r="E1987" s="33" t="s">
        <v>166</v>
      </c>
      <c r="F1987" s="33" t="s">
        <v>163</v>
      </c>
    </row>
    <row r="1988" spans="1:6" ht="15" thickBot="1">
      <c r="A1988" s="31">
        <v>8238862</v>
      </c>
      <c r="B1988" s="32">
        <v>22000000</v>
      </c>
      <c r="C1988" s="33" t="s">
        <v>177</v>
      </c>
      <c r="D1988" s="33" t="s">
        <v>161</v>
      </c>
      <c r="E1988" s="33" t="s">
        <v>162</v>
      </c>
      <c r="F1988" s="33" t="s">
        <v>163</v>
      </c>
    </row>
    <row r="1989" spans="1:6" ht="15" thickBot="1">
      <c r="A1989" s="31">
        <v>8239180</v>
      </c>
      <c r="B1989" s="32">
        <v>15000000</v>
      </c>
      <c r="C1989" s="33" t="s">
        <v>196</v>
      </c>
      <c r="D1989" s="33" t="s">
        <v>161</v>
      </c>
      <c r="E1989" s="33" t="s">
        <v>162</v>
      </c>
      <c r="F1989" s="33" t="s">
        <v>163</v>
      </c>
    </row>
    <row r="1990" spans="1:6" ht="15" thickBot="1">
      <c r="A1990" s="31">
        <v>8239194</v>
      </c>
      <c r="B1990" s="32">
        <v>3800000</v>
      </c>
      <c r="C1990" s="33" t="s">
        <v>279</v>
      </c>
      <c r="D1990" s="33" t="s">
        <v>161</v>
      </c>
      <c r="E1990" s="33" t="s">
        <v>162</v>
      </c>
      <c r="F1990" s="33" t="s">
        <v>163</v>
      </c>
    </row>
    <row r="1991" spans="1:6" ht="15" thickBot="1">
      <c r="A1991" s="31">
        <v>8239550</v>
      </c>
      <c r="B1991" s="32">
        <v>15800000</v>
      </c>
      <c r="C1991" s="33" t="s">
        <v>187</v>
      </c>
      <c r="D1991" s="33" t="s">
        <v>161</v>
      </c>
      <c r="E1991" s="33" t="s">
        <v>162</v>
      </c>
      <c r="F1991" s="33" t="s">
        <v>163</v>
      </c>
    </row>
    <row r="1992" spans="1:6" ht="15" thickBot="1">
      <c r="A1992" s="31">
        <v>8239589</v>
      </c>
      <c r="B1992" s="32">
        <v>30000</v>
      </c>
      <c r="C1992" s="33" t="s">
        <v>235</v>
      </c>
      <c r="D1992" s="33" t="s">
        <v>161</v>
      </c>
      <c r="E1992" s="33" t="s">
        <v>162</v>
      </c>
      <c r="F1992" s="33" t="s">
        <v>167</v>
      </c>
    </row>
    <row r="1993" spans="1:6" ht="15" thickBot="1">
      <c r="A1993" s="31">
        <v>8241495</v>
      </c>
      <c r="B1993" s="32">
        <v>45000</v>
      </c>
      <c r="C1993" s="33" t="s">
        <v>172</v>
      </c>
      <c r="D1993" s="33" t="s">
        <v>169</v>
      </c>
      <c r="E1993" s="34" t="s">
        <v>170</v>
      </c>
      <c r="F1993" s="33" t="s">
        <v>167</v>
      </c>
    </row>
    <row r="1994" spans="1:6" ht="15" thickBot="1">
      <c r="A1994" s="31">
        <v>8242092</v>
      </c>
      <c r="B1994" s="32">
        <v>50000000</v>
      </c>
      <c r="C1994" s="33" t="s">
        <v>182</v>
      </c>
      <c r="D1994" s="33" t="s">
        <v>174</v>
      </c>
      <c r="E1994" s="33" t="s">
        <v>166</v>
      </c>
      <c r="F1994" s="33" t="s">
        <v>163</v>
      </c>
    </row>
    <row r="1995" spans="1:6" ht="15" thickBot="1">
      <c r="A1995" s="31">
        <v>8243735</v>
      </c>
      <c r="B1995" s="32">
        <v>45500000</v>
      </c>
      <c r="C1995" s="33" t="s">
        <v>182</v>
      </c>
      <c r="D1995" s="33" t="s">
        <v>174</v>
      </c>
      <c r="E1995" s="33" t="s">
        <v>166</v>
      </c>
      <c r="F1995" s="33" t="s">
        <v>163</v>
      </c>
    </row>
    <row r="1996" spans="1:6" ht="15" thickBot="1">
      <c r="A1996" s="31">
        <v>8243781</v>
      </c>
      <c r="B1996" s="32">
        <v>38000</v>
      </c>
      <c r="C1996" s="33" t="s">
        <v>172</v>
      </c>
      <c r="D1996" s="33" t="s">
        <v>169</v>
      </c>
      <c r="E1996" s="34" t="s">
        <v>170</v>
      </c>
      <c r="F1996" s="33" t="s">
        <v>167</v>
      </c>
    </row>
    <row r="1997" spans="1:6" ht="15" thickBot="1">
      <c r="A1997" s="31">
        <v>8244311</v>
      </c>
      <c r="B1997" s="32">
        <v>45000</v>
      </c>
      <c r="C1997" s="33" t="s">
        <v>172</v>
      </c>
      <c r="D1997" s="33" t="s">
        <v>169</v>
      </c>
      <c r="E1997" s="34" t="s">
        <v>170</v>
      </c>
      <c r="F1997" s="33" t="s">
        <v>167</v>
      </c>
    </row>
    <row r="1998" spans="1:6" ht="15" thickBot="1">
      <c r="A1998" s="31">
        <v>8246502</v>
      </c>
      <c r="B1998" s="32">
        <v>6100000</v>
      </c>
      <c r="C1998" s="33" t="s">
        <v>533</v>
      </c>
      <c r="D1998" s="33" t="s">
        <v>174</v>
      </c>
      <c r="E1998" s="33" t="s">
        <v>166</v>
      </c>
      <c r="F1998" s="33" t="s">
        <v>163</v>
      </c>
    </row>
    <row r="1999" spans="1:6" ht="15" thickBot="1">
      <c r="A1999" s="31">
        <v>8248197</v>
      </c>
      <c r="B1999" s="32">
        <v>70000000</v>
      </c>
      <c r="C1999" s="33" t="s">
        <v>177</v>
      </c>
      <c r="D1999" s="33" t="s">
        <v>174</v>
      </c>
      <c r="E1999" s="33" t="s">
        <v>166</v>
      </c>
      <c r="F1999" s="33" t="s">
        <v>163</v>
      </c>
    </row>
    <row r="2000" spans="1:6" ht="15" thickBot="1">
      <c r="A2000" s="31">
        <v>8248640</v>
      </c>
      <c r="B2000" s="32">
        <v>45000000</v>
      </c>
      <c r="C2000" s="33" t="s">
        <v>177</v>
      </c>
      <c r="D2000" s="33" t="s">
        <v>174</v>
      </c>
      <c r="E2000" s="33" t="s">
        <v>166</v>
      </c>
      <c r="F2000" s="33" t="s">
        <v>163</v>
      </c>
    </row>
    <row r="2001" spans="1:6" ht="15" thickBot="1">
      <c r="A2001" s="31">
        <v>8249383</v>
      </c>
      <c r="B2001" s="32">
        <v>8000000</v>
      </c>
      <c r="C2001" s="33" t="s">
        <v>172</v>
      </c>
      <c r="D2001" s="33" t="s">
        <v>169</v>
      </c>
      <c r="E2001" s="34" t="s">
        <v>170</v>
      </c>
      <c r="F2001" s="33" t="s">
        <v>163</v>
      </c>
    </row>
    <row r="2002" spans="1:6" ht="15" thickBot="1">
      <c r="A2002" s="31">
        <v>8250114</v>
      </c>
      <c r="B2002" s="32">
        <v>125000</v>
      </c>
      <c r="C2002" s="33" t="s">
        <v>198</v>
      </c>
      <c r="D2002" s="33" t="s">
        <v>169</v>
      </c>
      <c r="E2002" s="34" t="s">
        <v>170</v>
      </c>
      <c r="F2002" s="33" t="s">
        <v>167</v>
      </c>
    </row>
    <row r="2003" spans="1:6" ht="15" thickBot="1">
      <c r="A2003" s="31">
        <v>8250507</v>
      </c>
      <c r="B2003" s="32">
        <v>180000</v>
      </c>
      <c r="C2003" s="33" t="s">
        <v>198</v>
      </c>
      <c r="D2003" s="33" t="s">
        <v>169</v>
      </c>
      <c r="E2003" s="34" t="s">
        <v>170</v>
      </c>
      <c r="F2003" s="33" t="s">
        <v>167</v>
      </c>
    </row>
    <row r="2004" spans="1:6" ht="15" thickBot="1">
      <c r="A2004" s="31">
        <v>8250548</v>
      </c>
      <c r="B2004" s="32">
        <v>25000000</v>
      </c>
      <c r="C2004" s="33" t="s">
        <v>181</v>
      </c>
      <c r="D2004" s="33" t="s">
        <v>174</v>
      </c>
      <c r="E2004" s="33" t="s">
        <v>166</v>
      </c>
      <c r="F2004" s="33" t="s">
        <v>163</v>
      </c>
    </row>
    <row r="2005" spans="1:6" ht="15" thickBot="1">
      <c r="A2005" s="31">
        <v>8250835</v>
      </c>
      <c r="B2005" s="32">
        <v>200000</v>
      </c>
      <c r="C2005" s="33" t="s">
        <v>198</v>
      </c>
      <c r="D2005" s="33" t="s">
        <v>169</v>
      </c>
      <c r="E2005" s="34" t="s">
        <v>170</v>
      </c>
      <c r="F2005" s="33" t="s">
        <v>167</v>
      </c>
    </row>
    <row r="2006" spans="1:6" ht="15" thickBot="1">
      <c r="A2006" s="31">
        <v>8251472</v>
      </c>
      <c r="B2006" s="32">
        <v>60000</v>
      </c>
      <c r="C2006" s="33" t="s">
        <v>198</v>
      </c>
      <c r="D2006" s="33" t="s">
        <v>169</v>
      </c>
      <c r="E2006" s="34" t="s">
        <v>170</v>
      </c>
      <c r="F2006" s="33" t="s">
        <v>167</v>
      </c>
    </row>
    <row r="2007" spans="1:6" ht="15" thickBot="1">
      <c r="A2007" s="31">
        <v>8252385</v>
      </c>
      <c r="B2007" s="32">
        <v>50000000</v>
      </c>
      <c r="C2007" s="33" t="s">
        <v>183</v>
      </c>
      <c r="D2007" s="33" t="s">
        <v>169</v>
      </c>
      <c r="E2007" s="34" t="s">
        <v>170</v>
      </c>
      <c r="F2007" s="33" t="s">
        <v>163</v>
      </c>
    </row>
    <row r="2008" spans="1:6" ht="15" thickBot="1">
      <c r="A2008" s="31">
        <v>8252552</v>
      </c>
      <c r="B2008" s="32">
        <v>30000</v>
      </c>
      <c r="C2008" s="33" t="s">
        <v>221</v>
      </c>
      <c r="D2008" s="33" t="s">
        <v>169</v>
      </c>
      <c r="E2008" s="34" t="s">
        <v>170</v>
      </c>
      <c r="F2008" s="33" t="s">
        <v>167</v>
      </c>
    </row>
    <row r="2009" spans="1:6" ht="15" thickBot="1">
      <c r="A2009" s="31">
        <v>8253363</v>
      </c>
      <c r="B2009" s="32">
        <v>125000</v>
      </c>
      <c r="C2009" s="33" t="s">
        <v>282</v>
      </c>
      <c r="D2009" s="33" t="s">
        <v>161</v>
      </c>
      <c r="E2009" s="33" t="s">
        <v>162</v>
      </c>
      <c r="F2009" s="33" t="s">
        <v>167</v>
      </c>
    </row>
    <row r="2010" spans="1:6" ht="15" thickBot="1">
      <c r="A2010" s="31">
        <v>8254050</v>
      </c>
      <c r="B2010" s="32">
        <v>130000000</v>
      </c>
      <c r="C2010" s="33" t="s">
        <v>282</v>
      </c>
      <c r="D2010" s="33" t="s">
        <v>161</v>
      </c>
      <c r="E2010" s="33" t="s">
        <v>162</v>
      </c>
      <c r="F2010" s="33" t="s">
        <v>163</v>
      </c>
    </row>
    <row r="2011" spans="1:6" ht="15" thickBot="1">
      <c r="A2011" s="31">
        <v>8254051</v>
      </c>
      <c r="B2011" s="32">
        <v>46000000</v>
      </c>
      <c r="C2011" s="33" t="s">
        <v>177</v>
      </c>
      <c r="D2011" s="33" t="s">
        <v>161</v>
      </c>
      <c r="E2011" s="33" t="s">
        <v>162</v>
      </c>
      <c r="F2011" s="33" t="s">
        <v>163</v>
      </c>
    </row>
    <row r="2012" spans="1:6" ht="15" thickBot="1">
      <c r="A2012" s="31">
        <v>8254147</v>
      </c>
      <c r="B2012" s="32">
        <v>34000000</v>
      </c>
      <c r="C2012" s="33" t="s">
        <v>282</v>
      </c>
      <c r="D2012" s="33" t="s">
        <v>161</v>
      </c>
      <c r="E2012" s="33" t="s">
        <v>162</v>
      </c>
      <c r="F2012" s="33" t="s">
        <v>163</v>
      </c>
    </row>
    <row r="2013" spans="1:6" ht="15" thickBot="1">
      <c r="A2013" s="31">
        <v>8254149</v>
      </c>
      <c r="B2013" s="32">
        <v>57500000</v>
      </c>
      <c r="C2013" s="33" t="s">
        <v>218</v>
      </c>
      <c r="D2013" s="33" t="s">
        <v>161</v>
      </c>
      <c r="E2013" s="33" t="s">
        <v>162</v>
      </c>
      <c r="F2013" s="33" t="s">
        <v>163</v>
      </c>
    </row>
    <row r="2014" spans="1:6" ht="15" thickBot="1">
      <c r="A2014" s="31">
        <v>8254233</v>
      </c>
      <c r="B2014" s="32">
        <v>54000000</v>
      </c>
      <c r="C2014" s="33" t="s">
        <v>177</v>
      </c>
      <c r="D2014" s="33" t="s">
        <v>161</v>
      </c>
      <c r="E2014" s="33" t="s">
        <v>162</v>
      </c>
      <c r="F2014" s="33" t="s">
        <v>163</v>
      </c>
    </row>
    <row r="2015" spans="1:6" ht="15" thickBot="1">
      <c r="A2015" s="31">
        <v>8255253</v>
      </c>
      <c r="B2015" s="32">
        <v>2000000</v>
      </c>
      <c r="C2015" s="33" t="s">
        <v>534</v>
      </c>
      <c r="D2015" s="33" t="s">
        <v>161</v>
      </c>
      <c r="E2015" s="33" t="s">
        <v>162</v>
      </c>
      <c r="F2015" s="33" t="s">
        <v>163</v>
      </c>
    </row>
    <row r="2016" spans="1:6" ht="15" thickBot="1">
      <c r="A2016" s="31">
        <v>8255299</v>
      </c>
      <c r="B2016" s="32">
        <v>9500000</v>
      </c>
      <c r="C2016" s="33" t="s">
        <v>535</v>
      </c>
      <c r="D2016" s="33" t="s">
        <v>165</v>
      </c>
      <c r="E2016" s="33" t="s">
        <v>166</v>
      </c>
      <c r="F2016" s="33" t="s">
        <v>163</v>
      </c>
    </row>
    <row r="2017" spans="1:6" ht="15" thickBot="1">
      <c r="A2017" s="31">
        <v>8255864</v>
      </c>
      <c r="B2017" s="32">
        <v>34000</v>
      </c>
      <c r="C2017" s="33" t="s">
        <v>326</v>
      </c>
      <c r="D2017" s="33" t="s">
        <v>165</v>
      </c>
      <c r="E2017" s="33" t="s">
        <v>166</v>
      </c>
      <c r="F2017" s="33" t="s">
        <v>167</v>
      </c>
    </row>
    <row r="2018" spans="1:6" ht="15" thickBot="1">
      <c r="A2018" s="31">
        <v>8255890</v>
      </c>
      <c r="B2018" s="32">
        <v>7500000</v>
      </c>
      <c r="C2018" s="33" t="s">
        <v>442</v>
      </c>
      <c r="D2018" s="33" t="s">
        <v>200</v>
      </c>
      <c r="E2018" s="33" t="s">
        <v>166</v>
      </c>
      <c r="F2018" s="33" t="s">
        <v>163</v>
      </c>
    </row>
    <row r="2019" spans="1:6" ht="15" thickBot="1">
      <c r="A2019" s="31">
        <v>8256152</v>
      </c>
      <c r="B2019" s="32">
        <v>2000000</v>
      </c>
      <c r="C2019" s="33" t="s">
        <v>180</v>
      </c>
      <c r="D2019" s="33" t="s">
        <v>165</v>
      </c>
      <c r="E2019" s="33" t="s">
        <v>166</v>
      </c>
      <c r="F2019" s="33" t="s">
        <v>163</v>
      </c>
    </row>
    <row r="2020" spans="1:6" ht="15" thickBot="1">
      <c r="A2020" s="31">
        <v>8256369</v>
      </c>
      <c r="B2020" s="32">
        <v>5000000</v>
      </c>
      <c r="C2020" s="33" t="s">
        <v>180</v>
      </c>
      <c r="D2020" s="33" t="s">
        <v>165</v>
      </c>
      <c r="E2020" s="33" t="s">
        <v>166</v>
      </c>
      <c r="F2020" s="33" t="s">
        <v>163</v>
      </c>
    </row>
    <row r="2021" spans="1:6" ht="15" thickBot="1">
      <c r="A2021" s="31">
        <v>8256508</v>
      </c>
      <c r="B2021" s="32">
        <v>9000000</v>
      </c>
      <c r="C2021" s="33" t="s">
        <v>351</v>
      </c>
      <c r="D2021" s="33" t="s">
        <v>165</v>
      </c>
      <c r="E2021" s="33" t="s">
        <v>166</v>
      </c>
      <c r="F2021" s="33" t="s">
        <v>163</v>
      </c>
    </row>
    <row r="2022" spans="1:6" ht="15" thickBot="1">
      <c r="A2022" s="31">
        <v>8256703</v>
      </c>
      <c r="B2022" s="32">
        <v>55000000</v>
      </c>
      <c r="C2022" s="33" t="s">
        <v>177</v>
      </c>
      <c r="D2022" s="33" t="s">
        <v>169</v>
      </c>
      <c r="E2022" s="34" t="s">
        <v>170</v>
      </c>
      <c r="F2022" s="33" t="s">
        <v>163</v>
      </c>
    </row>
    <row r="2023" spans="1:6" ht="15" thickBot="1">
      <c r="A2023" s="31">
        <v>8256913</v>
      </c>
      <c r="B2023" s="32">
        <v>21000</v>
      </c>
      <c r="C2023" s="33" t="s">
        <v>232</v>
      </c>
      <c r="D2023" s="33" t="s">
        <v>169</v>
      </c>
      <c r="E2023" s="34" t="s">
        <v>170</v>
      </c>
      <c r="F2023" s="33" t="s">
        <v>167</v>
      </c>
    </row>
    <row r="2024" spans="1:6" ht="15" thickBot="1">
      <c r="A2024" s="31">
        <v>8257069</v>
      </c>
      <c r="B2024" s="32">
        <v>55000000</v>
      </c>
      <c r="C2024" s="33" t="s">
        <v>177</v>
      </c>
      <c r="D2024" s="33" t="s">
        <v>174</v>
      </c>
      <c r="E2024" s="33" t="s">
        <v>166</v>
      </c>
      <c r="F2024" s="33" t="s">
        <v>163</v>
      </c>
    </row>
    <row r="2025" spans="1:6" ht="15" thickBot="1">
      <c r="A2025" s="31">
        <v>8257168</v>
      </c>
      <c r="B2025" s="32">
        <v>7500000</v>
      </c>
      <c r="C2025" s="33" t="s">
        <v>536</v>
      </c>
      <c r="D2025" s="33" t="s">
        <v>200</v>
      </c>
      <c r="E2025" s="33" t="s">
        <v>166</v>
      </c>
      <c r="F2025" s="33" t="s">
        <v>163</v>
      </c>
    </row>
    <row r="2026" spans="1:6" ht="15" thickBot="1">
      <c r="A2026" s="31">
        <v>8257545</v>
      </c>
      <c r="B2026" s="32">
        <v>18000000</v>
      </c>
      <c r="C2026" s="33" t="s">
        <v>189</v>
      </c>
      <c r="D2026" s="33" t="s">
        <v>165</v>
      </c>
      <c r="E2026" s="33" t="s">
        <v>166</v>
      </c>
      <c r="F2026" s="33" t="s">
        <v>163</v>
      </c>
    </row>
    <row r="2027" spans="1:6" ht="15" thickBot="1">
      <c r="A2027" s="31">
        <v>8259224</v>
      </c>
      <c r="B2027" s="32">
        <v>3300000</v>
      </c>
      <c r="C2027" s="33" t="s">
        <v>180</v>
      </c>
      <c r="D2027" s="33" t="s">
        <v>165</v>
      </c>
      <c r="E2027" s="33" t="s">
        <v>166</v>
      </c>
      <c r="F2027" s="33" t="s">
        <v>163</v>
      </c>
    </row>
    <row r="2028" spans="1:6" ht="15" thickBot="1">
      <c r="A2028" s="31">
        <v>8259281</v>
      </c>
      <c r="B2028" s="32">
        <v>300000</v>
      </c>
      <c r="C2028" s="33" t="s">
        <v>262</v>
      </c>
      <c r="D2028" s="33" t="s">
        <v>169</v>
      </c>
      <c r="E2028" s="34" t="s">
        <v>170</v>
      </c>
      <c r="F2028" s="33" t="s">
        <v>167</v>
      </c>
    </row>
    <row r="2029" spans="1:6" ht="15" thickBot="1">
      <c r="A2029" s="31">
        <v>8261372</v>
      </c>
      <c r="B2029" s="32">
        <v>95000000</v>
      </c>
      <c r="C2029" s="33" t="s">
        <v>196</v>
      </c>
      <c r="D2029" s="33" t="s">
        <v>161</v>
      </c>
      <c r="E2029" s="33" t="s">
        <v>162</v>
      </c>
      <c r="F2029" s="33" t="s">
        <v>163</v>
      </c>
    </row>
    <row r="2030" spans="1:6" ht="15" thickBot="1">
      <c r="A2030" s="31">
        <v>8261995</v>
      </c>
      <c r="B2030" s="32">
        <v>42500000</v>
      </c>
      <c r="C2030" s="33" t="s">
        <v>205</v>
      </c>
      <c r="D2030" s="33" t="s">
        <v>161</v>
      </c>
      <c r="E2030" s="33" t="s">
        <v>162</v>
      </c>
      <c r="F2030" s="33" t="s">
        <v>163</v>
      </c>
    </row>
    <row r="2031" spans="1:6" ht="15" thickBot="1">
      <c r="A2031" s="31">
        <v>8262607</v>
      </c>
      <c r="B2031" s="32">
        <v>15000000</v>
      </c>
      <c r="C2031" s="33" t="s">
        <v>537</v>
      </c>
      <c r="D2031" s="33" t="s">
        <v>200</v>
      </c>
      <c r="E2031" s="33" t="s">
        <v>166</v>
      </c>
      <c r="F2031" s="33" t="s">
        <v>163</v>
      </c>
    </row>
    <row r="2032" spans="1:6" ht="29" thickBot="1">
      <c r="A2032" s="31">
        <v>8262926</v>
      </c>
      <c r="B2032" s="32">
        <v>6700000</v>
      </c>
      <c r="C2032" s="33" t="s">
        <v>538</v>
      </c>
      <c r="D2032" s="33" t="s">
        <v>174</v>
      </c>
      <c r="E2032" s="33" t="s">
        <v>166</v>
      </c>
      <c r="F2032" s="33" t="s">
        <v>163</v>
      </c>
    </row>
    <row r="2033" spans="1:6" ht="15" thickBot="1">
      <c r="A2033" s="31">
        <v>8262939</v>
      </c>
      <c r="B2033" s="32">
        <v>19000000</v>
      </c>
      <c r="C2033" s="33" t="s">
        <v>180</v>
      </c>
      <c r="D2033" s="33" t="s">
        <v>165</v>
      </c>
      <c r="E2033" s="33" t="s">
        <v>166</v>
      </c>
      <c r="F2033" s="33" t="s">
        <v>163</v>
      </c>
    </row>
    <row r="2034" spans="1:6" ht="15" thickBot="1">
      <c r="A2034" s="31">
        <v>8263089</v>
      </c>
      <c r="B2034" s="32">
        <v>5500000</v>
      </c>
      <c r="C2034" s="33" t="s">
        <v>539</v>
      </c>
      <c r="D2034" s="33" t="s">
        <v>200</v>
      </c>
      <c r="E2034" s="33" t="s">
        <v>166</v>
      </c>
      <c r="F2034" s="33" t="s">
        <v>163</v>
      </c>
    </row>
    <row r="2035" spans="1:6" ht="15" thickBot="1">
      <c r="A2035" s="31">
        <v>8265549</v>
      </c>
      <c r="B2035" s="32">
        <v>11000000</v>
      </c>
      <c r="C2035" s="33" t="s">
        <v>184</v>
      </c>
      <c r="D2035" s="33" t="s">
        <v>161</v>
      </c>
      <c r="E2035" s="33" t="s">
        <v>162</v>
      </c>
      <c r="F2035" s="33" t="s">
        <v>163</v>
      </c>
    </row>
    <row r="2036" spans="1:6" ht="15" thickBot="1">
      <c r="A2036" s="31">
        <v>8266432</v>
      </c>
      <c r="B2036" s="32">
        <v>150000</v>
      </c>
      <c r="C2036" s="33" t="s">
        <v>282</v>
      </c>
      <c r="D2036" s="33" t="s">
        <v>161</v>
      </c>
      <c r="E2036" s="33" t="s">
        <v>162</v>
      </c>
      <c r="F2036" s="33" t="s">
        <v>167</v>
      </c>
    </row>
    <row r="2037" spans="1:6" ht="15" thickBot="1">
      <c r="A2037" s="31">
        <v>8267068</v>
      </c>
      <c r="B2037" s="32">
        <v>42000000</v>
      </c>
      <c r="C2037" s="33" t="s">
        <v>204</v>
      </c>
      <c r="D2037" s="33" t="s">
        <v>169</v>
      </c>
      <c r="E2037" s="34" t="s">
        <v>170</v>
      </c>
      <c r="F2037" s="33" t="s">
        <v>163</v>
      </c>
    </row>
    <row r="2038" spans="1:6" ht="15" thickBot="1">
      <c r="A2038" s="31">
        <v>8267175</v>
      </c>
      <c r="B2038" s="32">
        <v>43000000</v>
      </c>
      <c r="C2038" s="33" t="s">
        <v>282</v>
      </c>
      <c r="D2038" s="33" t="s">
        <v>161</v>
      </c>
      <c r="E2038" s="33" t="s">
        <v>162</v>
      </c>
      <c r="F2038" s="33" t="s">
        <v>163</v>
      </c>
    </row>
    <row r="2039" spans="1:6" ht="15" thickBot="1">
      <c r="A2039" s="31">
        <v>8267197</v>
      </c>
      <c r="B2039" s="32">
        <v>125000000</v>
      </c>
      <c r="C2039" s="33" t="s">
        <v>173</v>
      </c>
      <c r="D2039" s="33" t="s">
        <v>174</v>
      </c>
      <c r="E2039" s="33" t="s">
        <v>166</v>
      </c>
      <c r="F2039" s="33" t="s">
        <v>163</v>
      </c>
    </row>
    <row r="2040" spans="1:6" ht="15" thickBot="1">
      <c r="A2040" s="31">
        <v>8267612</v>
      </c>
      <c r="B2040" s="32">
        <v>38000000</v>
      </c>
      <c r="C2040" s="33" t="s">
        <v>204</v>
      </c>
      <c r="D2040" s="33" t="s">
        <v>169</v>
      </c>
      <c r="E2040" s="34" t="s">
        <v>170</v>
      </c>
      <c r="F2040" s="33" t="s">
        <v>163</v>
      </c>
    </row>
    <row r="2041" spans="1:6" ht="15" thickBot="1">
      <c r="A2041" s="31">
        <v>8268684</v>
      </c>
      <c r="B2041" s="32">
        <v>12000000</v>
      </c>
      <c r="C2041" s="33" t="s">
        <v>171</v>
      </c>
      <c r="D2041" s="33" t="s">
        <v>161</v>
      </c>
      <c r="E2041" s="33" t="s">
        <v>162</v>
      </c>
      <c r="F2041" s="33" t="s">
        <v>163</v>
      </c>
    </row>
    <row r="2042" spans="1:6" ht="15" thickBot="1">
      <c r="A2042" s="31">
        <v>8268796</v>
      </c>
      <c r="B2042" s="32">
        <v>22500000</v>
      </c>
      <c r="C2042" s="33" t="s">
        <v>204</v>
      </c>
      <c r="D2042" s="33" t="s">
        <v>169</v>
      </c>
      <c r="E2042" s="34" t="s">
        <v>170</v>
      </c>
      <c r="F2042" s="33" t="s">
        <v>163</v>
      </c>
    </row>
    <row r="2043" spans="1:6" ht="15" thickBot="1">
      <c r="A2043" s="31">
        <v>8269255</v>
      </c>
      <c r="B2043" s="32">
        <v>27500000</v>
      </c>
      <c r="C2043" s="33" t="s">
        <v>180</v>
      </c>
      <c r="D2043" s="33" t="s">
        <v>165</v>
      </c>
      <c r="E2043" s="33" t="s">
        <v>166</v>
      </c>
      <c r="F2043" s="33" t="s">
        <v>163</v>
      </c>
    </row>
    <row r="2044" spans="1:6" ht="15" thickBot="1">
      <c r="A2044" s="31">
        <v>8269735</v>
      </c>
      <c r="B2044" s="32">
        <v>5300000</v>
      </c>
      <c r="C2044" s="33" t="s">
        <v>499</v>
      </c>
      <c r="D2044" s="33" t="s">
        <v>169</v>
      </c>
      <c r="E2044" s="34" t="s">
        <v>170</v>
      </c>
      <c r="F2044" s="33" t="s">
        <v>163</v>
      </c>
    </row>
    <row r="2045" spans="1:6" ht="15" thickBot="1">
      <c r="A2045" s="31">
        <v>8269923</v>
      </c>
      <c r="B2045" s="32">
        <v>22000000</v>
      </c>
      <c r="C2045" s="33" t="s">
        <v>177</v>
      </c>
      <c r="D2045" s="33" t="s">
        <v>169</v>
      </c>
      <c r="E2045" s="34" t="s">
        <v>170</v>
      </c>
      <c r="F2045" s="33" t="s">
        <v>163</v>
      </c>
    </row>
    <row r="2046" spans="1:6" ht="15" thickBot="1">
      <c r="A2046" s="31">
        <v>8270004</v>
      </c>
      <c r="B2046" s="32">
        <v>33500000</v>
      </c>
      <c r="C2046" s="33" t="s">
        <v>177</v>
      </c>
      <c r="D2046" s="33" t="s">
        <v>174</v>
      </c>
      <c r="E2046" s="33" t="s">
        <v>166</v>
      </c>
      <c r="F2046" s="33" t="s">
        <v>163</v>
      </c>
    </row>
    <row r="2047" spans="1:6" ht="15" thickBot="1">
      <c r="A2047" s="31">
        <v>8270048</v>
      </c>
      <c r="B2047" s="32">
        <v>35000000</v>
      </c>
      <c r="C2047" s="33" t="s">
        <v>359</v>
      </c>
      <c r="D2047" s="33" t="s">
        <v>161</v>
      </c>
      <c r="E2047" s="33" t="s">
        <v>162</v>
      </c>
      <c r="F2047" s="33" t="s">
        <v>163</v>
      </c>
    </row>
    <row r="2048" spans="1:6" ht="15" thickBot="1">
      <c r="A2048" s="31">
        <v>8270057</v>
      </c>
      <c r="B2048" s="32">
        <v>2550000</v>
      </c>
      <c r="C2048" s="33" t="s">
        <v>410</v>
      </c>
      <c r="D2048" s="33" t="s">
        <v>169</v>
      </c>
      <c r="E2048" s="34" t="s">
        <v>170</v>
      </c>
      <c r="F2048" s="33" t="s">
        <v>163</v>
      </c>
    </row>
    <row r="2049" spans="1:6" ht="29" thickBot="1">
      <c r="A2049" s="31">
        <v>8270241</v>
      </c>
      <c r="B2049" s="32">
        <v>10500000</v>
      </c>
      <c r="C2049" s="33" t="s">
        <v>354</v>
      </c>
      <c r="D2049" s="33" t="s">
        <v>161</v>
      </c>
      <c r="E2049" s="33" t="s">
        <v>162</v>
      </c>
      <c r="F2049" s="33" t="s">
        <v>163</v>
      </c>
    </row>
    <row r="2050" spans="1:6" ht="15" thickBot="1">
      <c r="A2050" s="31">
        <v>8270578</v>
      </c>
      <c r="B2050" s="32">
        <v>10500000</v>
      </c>
      <c r="C2050" s="33" t="s">
        <v>181</v>
      </c>
      <c r="D2050" s="33" t="s">
        <v>174</v>
      </c>
      <c r="E2050" s="33" t="s">
        <v>166</v>
      </c>
      <c r="F2050" s="33" t="s">
        <v>163</v>
      </c>
    </row>
    <row r="2051" spans="1:6" ht="15" thickBot="1">
      <c r="A2051" s="31">
        <v>8270899</v>
      </c>
      <c r="B2051" s="32">
        <v>14000000</v>
      </c>
      <c r="C2051" s="33" t="s">
        <v>204</v>
      </c>
      <c r="D2051" s="33" t="s">
        <v>169</v>
      </c>
      <c r="E2051" s="34" t="s">
        <v>170</v>
      </c>
      <c r="F2051" s="33" t="s">
        <v>163</v>
      </c>
    </row>
    <row r="2052" spans="1:6" ht="15" thickBot="1">
      <c r="A2052" s="31">
        <v>8270922</v>
      </c>
      <c r="B2052" s="32">
        <v>65000</v>
      </c>
      <c r="C2052" s="33" t="s">
        <v>221</v>
      </c>
      <c r="D2052" s="33" t="s">
        <v>169</v>
      </c>
      <c r="E2052" s="34" t="s">
        <v>170</v>
      </c>
      <c r="F2052" s="33" t="s">
        <v>167</v>
      </c>
    </row>
    <row r="2053" spans="1:6" ht="15" thickBot="1">
      <c r="A2053" s="31">
        <v>8270993</v>
      </c>
      <c r="B2053" s="32">
        <v>60000</v>
      </c>
      <c r="C2053" s="33" t="s">
        <v>221</v>
      </c>
      <c r="D2053" s="33" t="s">
        <v>169</v>
      </c>
      <c r="E2053" s="34" t="s">
        <v>170</v>
      </c>
      <c r="F2053" s="33" t="s">
        <v>167</v>
      </c>
    </row>
    <row r="2054" spans="1:6" ht="15" thickBot="1">
      <c r="A2054" s="31">
        <v>8271494</v>
      </c>
      <c r="B2054" s="32">
        <v>3400000</v>
      </c>
      <c r="C2054" s="33" t="s">
        <v>291</v>
      </c>
      <c r="D2054" s="33" t="s">
        <v>161</v>
      </c>
      <c r="E2054" s="33" t="s">
        <v>162</v>
      </c>
      <c r="F2054" s="33" t="s">
        <v>163</v>
      </c>
    </row>
    <row r="2055" spans="1:6" ht="15" thickBot="1">
      <c r="A2055" s="31">
        <v>8271559</v>
      </c>
      <c r="B2055" s="32">
        <v>23000000</v>
      </c>
      <c r="C2055" s="33" t="s">
        <v>264</v>
      </c>
      <c r="D2055" s="33" t="s">
        <v>169</v>
      </c>
      <c r="E2055" s="34" t="s">
        <v>170</v>
      </c>
      <c r="F2055" s="33" t="s">
        <v>163</v>
      </c>
    </row>
    <row r="2056" spans="1:6" ht="15" thickBot="1">
      <c r="A2056" s="31">
        <v>8272004</v>
      </c>
      <c r="B2056" s="32">
        <v>9000000</v>
      </c>
      <c r="C2056" s="33" t="s">
        <v>540</v>
      </c>
      <c r="D2056" s="33" t="s">
        <v>174</v>
      </c>
      <c r="E2056" s="33" t="s">
        <v>166</v>
      </c>
      <c r="F2056" s="33" t="s">
        <v>163</v>
      </c>
    </row>
    <row r="2057" spans="1:6" ht="15" thickBot="1">
      <c r="A2057" s="31">
        <v>8272111</v>
      </c>
      <c r="B2057" s="32">
        <v>28000</v>
      </c>
      <c r="C2057" s="33" t="s">
        <v>279</v>
      </c>
      <c r="D2057" s="33" t="s">
        <v>161</v>
      </c>
      <c r="E2057" s="33" t="s">
        <v>162</v>
      </c>
      <c r="F2057" s="33" t="s">
        <v>167</v>
      </c>
    </row>
    <row r="2058" spans="1:6" ht="15" thickBot="1">
      <c r="A2058" s="31">
        <v>8272184</v>
      </c>
      <c r="B2058" s="32">
        <v>18000000</v>
      </c>
      <c r="C2058" s="33" t="s">
        <v>204</v>
      </c>
      <c r="D2058" s="33" t="s">
        <v>174</v>
      </c>
      <c r="E2058" s="33" t="s">
        <v>166</v>
      </c>
      <c r="F2058" s="33" t="s">
        <v>163</v>
      </c>
    </row>
    <row r="2059" spans="1:6" ht="15" thickBot="1">
      <c r="A2059" s="31">
        <v>8272191</v>
      </c>
      <c r="B2059" s="32">
        <v>9000000</v>
      </c>
      <c r="C2059" s="33" t="s">
        <v>541</v>
      </c>
      <c r="D2059" s="33" t="s">
        <v>161</v>
      </c>
      <c r="E2059" s="33" t="s">
        <v>162</v>
      </c>
      <c r="F2059" s="33" t="s">
        <v>163</v>
      </c>
    </row>
    <row r="2060" spans="1:6" ht="15" thickBot="1">
      <c r="A2060" s="31">
        <v>8272319</v>
      </c>
      <c r="B2060" s="32">
        <v>12500000</v>
      </c>
      <c r="C2060" s="33" t="s">
        <v>177</v>
      </c>
      <c r="D2060" s="33" t="s">
        <v>169</v>
      </c>
      <c r="E2060" s="34" t="s">
        <v>170</v>
      </c>
      <c r="F2060" s="33" t="s">
        <v>163</v>
      </c>
    </row>
    <row r="2061" spans="1:6" ht="15" thickBot="1">
      <c r="A2061" s="31">
        <v>8274108</v>
      </c>
      <c r="B2061" s="32">
        <v>5600000</v>
      </c>
      <c r="C2061" s="33" t="s">
        <v>542</v>
      </c>
      <c r="D2061" s="33" t="s">
        <v>200</v>
      </c>
      <c r="E2061" s="33" t="s">
        <v>166</v>
      </c>
      <c r="F2061" s="33" t="s">
        <v>163</v>
      </c>
    </row>
    <row r="2062" spans="1:6" ht="15" thickBot="1">
      <c r="A2062" s="31">
        <v>8275597</v>
      </c>
      <c r="B2062" s="32">
        <v>21500000</v>
      </c>
      <c r="C2062" s="33" t="s">
        <v>172</v>
      </c>
      <c r="D2062" s="33" t="s">
        <v>169</v>
      </c>
      <c r="E2062" s="34" t="s">
        <v>170</v>
      </c>
      <c r="F2062" s="33" t="s">
        <v>163</v>
      </c>
    </row>
    <row r="2063" spans="1:6" ht="15" thickBot="1">
      <c r="A2063" s="31">
        <v>8276074</v>
      </c>
      <c r="B2063" s="32">
        <v>19000000</v>
      </c>
      <c r="C2063" s="33" t="s">
        <v>543</v>
      </c>
      <c r="D2063" s="33" t="s">
        <v>174</v>
      </c>
      <c r="E2063" s="33" t="s">
        <v>166</v>
      </c>
      <c r="F2063" s="33" t="s">
        <v>163</v>
      </c>
    </row>
    <row r="2064" spans="1:6" ht="15" thickBot="1">
      <c r="A2064" s="31">
        <v>8276232</v>
      </c>
      <c r="B2064" s="32">
        <v>22500000</v>
      </c>
      <c r="C2064" s="33" t="s">
        <v>544</v>
      </c>
      <c r="D2064" s="33" t="s">
        <v>174</v>
      </c>
      <c r="E2064" s="33" t="s">
        <v>166</v>
      </c>
      <c r="F2064" s="33" t="s">
        <v>163</v>
      </c>
    </row>
    <row r="2065" spans="1:6" ht="29" thickBot="1">
      <c r="A2065" s="31">
        <v>8276741</v>
      </c>
      <c r="B2065" s="32">
        <v>55500000</v>
      </c>
      <c r="C2065" s="33" t="s">
        <v>545</v>
      </c>
      <c r="D2065" s="33" t="s">
        <v>174</v>
      </c>
      <c r="E2065" s="33" t="s">
        <v>166</v>
      </c>
      <c r="F2065" s="33" t="s">
        <v>163</v>
      </c>
    </row>
    <row r="2066" spans="1:6" ht="15" thickBot="1">
      <c r="A2066" s="31">
        <v>8277469</v>
      </c>
      <c r="B2066" s="32">
        <v>43000</v>
      </c>
      <c r="C2066" s="33" t="s">
        <v>344</v>
      </c>
      <c r="D2066" s="33" t="s">
        <v>169</v>
      </c>
      <c r="E2066" s="34" t="s">
        <v>170</v>
      </c>
      <c r="F2066" s="33" t="s">
        <v>167</v>
      </c>
    </row>
    <row r="2067" spans="1:6" ht="29" thickBot="1">
      <c r="A2067" s="31">
        <v>8277806</v>
      </c>
      <c r="B2067" s="32">
        <v>2500000</v>
      </c>
      <c r="C2067" s="33" t="s">
        <v>332</v>
      </c>
      <c r="D2067" s="33" t="s">
        <v>174</v>
      </c>
      <c r="E2067" s="33" t="s">
        <v>166</v>
      </c>
      <c r="F2067" s="33" t="s">
        <v>163</v>
      </c>
    </row>
    <row r="2068" spans="1:6" ht="15" thickBot="1">
      <c r="A2068" s="31">
        <v>8278179</v>
      </c>
      <c r="B2068" s="32">
        <v>42500000</v>
      </c>
      <c r="C2068" s="33" t="s">
        <v>177</v>
      </c>
      <c r="D2068" s="33" t="s">
        <v>174</v>
      </c>
      <c r="E2068" s="33" t="s">
        <v>166</v>
      </c>
      <c r="F2068" s="33" t="s">
        <v>163</v>
      </c>
    </row>
    <row r="2069" spans="1:6" ht="15" thickBot="1">
      <c r="A2069" s="31">
        <v>8278275</v>
      </c>
      <c r="B2069" s="32">
        <v>6800000</v>
      </c>
      <c r="C2069" s="33" t="s">
        <v>546</v>
      </c>
      <c r="D2069" s="33" t="s">
        <v>200</v>
      </c>
      <c r="E2069" s="33" t="s">
        <v>166</v>
      </c>
      <c r="F2069" s="33" t="s">
        <v>163</v>
      </c>
    </row>
    <row r="2070" spans="1:6" ht="15" thickBot="1">
      <c r="A2070" s="31">
        <v>8278562</v>
      </c>
      <c r="B2070" s="32">
        <v>13500000</v>
      </c>
      <c r="C2070" s="33" t="s">
        <v>177</v>
      </c>
      <c r="D2070" s="33" t="s">
        <v>161</v>
      </c>
      <c r="E2070" s="33" t="s">
        <v>162</v>
      </c>
      <c r="F2070" s="33" t="s">
        <v>163</v>
      </c>
    </row>
    <row r="2071" spans="1:6" ht="15" thickBot="1">
      <c r="A2071" s="31">
        <v>8279139</v>
      </c>
      <c r="B2071" s="32">
        <v>8500000</v>
      </c>
      <c r="C2071" s="33" t="s">
        <v>247</v>
      </c>
      <c r="D2071" s="33" t="s">
        <v>161</v>
      </c>
      <c r="E2071" s="33" t="s">
        <v>162</v>
      </c>
      <c r="F2071" s="33" t="s">
        <v>163</v>
      </c>
    </row>
    <row r="2072" spans="1:6" ht="15" thickBot="1">
      <c r="A2072" s="31">
        <v>8279184</v>
      </c>
      <c r="B2072" s="32">
        <v>1800000</v>
      </c>
      <c r="C2072" s="33" t="s">
        <v>210</v>
      </c>
      <c r="D2072" s="33" t="s">
        <v>169</v>
      </c>
      <c r="E2072" s="34" t="s">
        <v>170</v>
      </c>
      <c r="F2072" s="33" t="s">
        <v>163</v>
      </c>
    </row>
    <row r="2073" spans="1:6" ht="15" thickBot="1">
      <c r="A2073" s="31">
        <v>8279227</v>
      </c>
      <c r="B2073" s="32">
        <v>8000000</v>
      </c>
      <c r="C2073" s="33" t="s">
        <v>263</v>
      </c>
      <c r="D2073" s="33" t="s">
        <v>161</v>
      </c>
      <c r="E2073" s="33" t="s">
        <v>162</v>
      </c>
      <c r="F2073" s="33" t="s">
        <v>163</v>
      </c>
    </row>
    <row r="2074" spans="1:6" ht="15" thickBot="1">
      <c r="A2074" s="31">
        <v>8279238</v>
      </c>
      <c r="B2074" s="32">
        <v>75000000</v>
      </c>
      <c r="C2074" s="33" t="s">
        <v>282</v>
      </c>
      <c r="D2074" s="33" t="s">
        <v>161</v>
      </c>
      <c r="E2074" s="33" t="s">
        <v>162</v>
      </c>
      <c r="F2074" s="33" t="s">
        <v>163</v>
      </c>
    </row>
    <row r="2075" spans="1:6" ht="15" thickBot="1">
      <c r="A2075" s="31">
        <v>8279829</v>
      </c>
      <c r="B2075" s="32">
        <v>26000000</v>
      </c>
      <c r="C2075" s="33" t="s">
        <v>182</v>
      </c>
      <c r="D2075" s="33" t="s">
        <v>174</v>
      </c>
      <c r="E2075" s="33" t="s">
        <v>166</v>
      </c>
      <c r="F2075" s="33" t="s">
        <v>163</v>
      </c>
    </row>
    <row r="2076" spans="1:6" ht="15" thickBot="1">
      <c r="A2076" s="31">
        <v>8279928</v>
      </c>
      <c r="B2076" s="32">
        <v>31000000</v>
      </c>
      <c r="C2076" s="33" t="s">
        <v>177</v>
      </c>
      <c r="D2076" s="33" t="s">
        <v>174</v>
      </c>
      <c r="E2076" s="33" t="s">
        <v>166</v>
      </c>
      <c r="F2076" s="33" t="s">
        <v>163</v>
      </c>
    </row>
    <row r="2077" spans="1:6" ht="15" thickBot="1">
      <c r="A2077" s="31">
        <v>8281231</v>
      </c>
      <c r="B2077" s="32">
        <v>21000000</v>
      </c>
      <c r="C2077" s="33" t="s">
        <v>211</v>
      </c>
      <c r="D2077" s="33" t="s">
        <v>161</v>
      </c>
      <c r="E2077" s="33" t="s">
        <v>162</v>
      </c>
      <c r="F2077" s="33" t="s">
        <v>163</v>
      </c>
    </row>
    <row r="2078" spans="1:6" ht="15" thickBot="1">
      <c r="A2078" s="31">
        <v>8282338</v>
      </c>
      <c r="B2078" s="32">
        <v>80000</v>
      </c>
      <c r="C2078" s="33" t="s">
        <v>386</v>
      </c>
      <c r="D2078" s="33" t="s">
        <v>169</v>
      </c>
      <c r="E2078" s="34" t="s">
        <v>170</v>
      </c>
      <c r="F2078" s="33" t="s">
        <v>167</v>
      </c>
    </row>
    <row r="2079" spans="1:6" ht="15" thickBot="1">
      <c r="A2079" s="31">
        <v>8282803</v>
      </c>
      <c r="B2079" s="32">
        <v>9800000</v>
      </c>
      <c r="C2079" s="33" t="s">
        <v>306</v>
      </c>
      <c r="D2079" s="33" t="s">
        <v>174</v>
      </c>
      <c r="E2079" s="33" t="s">
        <v>166</v>
      </c>
      <c r="F2079" s="33" t="s">
        <v>163</v>
      </c>
    </row>
    <row r="2080" spans="1:6" ht="15" thickBot="1">
      <c r="A2080" s="31">
        <v>8283264</v>
      </c>
      <c r="B2080" s="32">
        <v>32000</v>
      </c>
      <c r="C2080" s="33" t="s">
        <v>175</v>
      </c>
      <c r="D2080" s="33" t="s">
        <v>169</v>
      </c>
      <c r="E2080" s="34" t="s">
        <v>170</v>
      </c>
      <c r="F2080" s="33" t="s">
        <v>167</v>
      </c>
    </row>
    <row r="2081" spans="1:6" ht="15" thickBot="1">
      <c r="A2081" s="31">
        <v>8283392</v>
      </c>
      <c r="B2081" s="32">
        <v>4500000</v>
      </c>
      <c r="C2081" s="33" t="s">
        <v>279</v>
      </c>
      <c r="D2081" s="33" t="s">
        <v>161</v>
      </c>
      <c r="E2081" s="33" t="s">
        <v>162</v>
      </c>
      <c r="F2081" s="33" t="s">
        <v>163</v>
      </c>
    </row>
    <row r="2082" spans="1:6" ht="15" thickBot="1">
      <c r="A2082" s="31">
        <v>8283517</v>
      </c>
      <c r="B2082" s="32">
        <v>32700000</v>
      </c>
      <c r="C2082" s="33" t="s">
        <v>206</v>
      </c>
      <c r="D2082" s="33" t="s">
        <v>174</v>
      </c>
      <c r="E2082" s="33" t="s">
        <v>166</v>
      </c>
      <c r="F2082" s="33" t="s">
        <v>163</v>
      </c>
    </row>
    <row r="2083" spans="1:6" ht="15" thickBot="1">
      <c r="A2083" s="31">
        <v>8283527</v>
      </c>
      <c r="B2083" s="32">
        <v>4500000</v>
      </c>
      <c r="C2083" s="33" t="s">
        <v>380</v>
      </c>
      <c r="D2083" s="33" t="s">
        <v>174</v>
      </c>
      <c r="E2083" s="33" t="s">
        <v>166</v>
      </c>
      <c r="F2083" s="33" t="s">
        <v>163</v>
      </c>
    </row>
    <row r="2084" spans="1:6" ht="15" thickBot="1">
      <c r="A2084" s="31">
        <v>8284486</v>
      </c>
      <c r="B2084" s="32">
        <v>65000000</v>
      </c>
      <c r="C2084" s="33" t="s">
        <v>279</v>
      </c>
      <c r="D2084" s="33" t="s">
        <v>161</v>
      </c>
      <c r="E2084" s="33" t="s">
        <v>162</v>
      </c>
      <c r="F2084" s="33" t="s">
        <v>163</v>
      </c>
    </row>
    <row r="2085" spans="1:6" ht="15" thickBot="1">
      <c r="A2085" s="31">
        <v>8285559</v>
      </c>
      <c r="B2085" s="32">
        <v>33500000</v>
      </c>
      <c r="C2085" s="33" t="s">
        <v>206</v>
      </c>
      <c r="D2085" s="33" t="s">
        <v>174</v>
      </c>
      <c r="E2085" s="33" t="s">
        <v>166</v>
      </c>
      <c r="F2085" s="33" t="s">
        <v>163</v>
      </c>
    </row>
    <row r="2086" spans="1:6" ht="15" thickBot="1">
      <c r="A2086" s="31">
        <v>8286175</v>
      </c>
      <c r="B2086" s="32">
        <v>11000000</v>
      </c>
      <c r="C2086" s="33" t="s">
        <v>298</v>
      </c>
      <c r="D2086" s="33" t="s">
        <v>174</v>
      </c>
      <c r="E2086" s="33" t="s">
        <v>166</v>
      </c>
      <c r="F2086" s="33" t="s">
        <v>163</v>
      </c>
    </row>
    <row r="2087" spans="1:6" ht="15" thickBot="1">
      <c r="A2087" s="31">
        <v>8287125</v>
      </c>
      <c r="B2087" s="32">
        <v>32500000</v>
      </c>
      <c r="C2087" s="33" t="s">
        <v>177</v>
      </c>
      <c r="D2087" s="33" t="s">
        <v>174</v>
      </c>
      <c r="E2087" s="33" t="s">
        <v>166</v>
      </c>
      <c r="F2087" s="33" t="s">
        <v>163</v>
      </c>
    </row>
    <row r="2088" spans="1:6" ht="15" thickBot="1">
      <c r="A2088" s="31">
        <v>8287489</v>
      </c>
      <c r="B2088" s="32">
        <v>2600000</v>
      </c>
      <c r="C2088" s="33" t="s">
        <v>164</v>
      </c>
      <c r="D2088" s="33" t="s">
        <v>165</v>
      </c>
      <c r="E2088" s="33" t="s">
        <v>166</v>
      </c>
      <c r="F2088" s="33" t="s">
        <v>163</v>
      </c>
    </row>
    <row r="2089" spans="1:6" ht="15" thickBot="1">
      <c r="A2089" s="31">
        <v>8287806</v>
      </c>
      <c r="B2089" s="32">
        <v>5500000</v>
      </c>
      <c r="C2089" s="33" t="s">
        <v>547</v>
      </c>
      <c r="D2089" s="33" t="s">
        <v>174</v>
      </c>
      <c r="E2089" s="33" t="s">
        <v>166</v>
      </c>
      <c r="F2089" s="33" t="s">
        <v>163</v>
      </c>
    </row>
    <row r="2090" spans="1:6" ht="15" thickBot="1">
      <c r="A2090" s="31">
        <v>8287849</v>
      </c>
      <c r="B2090" s="32">
        <v>17500000</v>
      </c>
      <c r="C2090" s="33" t="s">
        <v>269</v>
      </c>
      <c r="D2090" s="33" t="s">
        <v>174</v>
      </c>
      <c r="E2090" s="33" t="s">
        <v>166</v>
      </c>
      <c r="F2090" s="33" t="s">
        <v>163</v>
      </c>
    </row>
    <row r="2091" spans="1:6" ht="15" thickBot="1">
      <c r="A2091" s="31">
        <v>8288589</v>
      </c>
      <c r="B2091" s="32">
        <v>42500000</v>
      </c>
      <c r="C2091" s="33" t="s">
        <v>206</v>
      </c>
      <c r="D2091" s="33" t="s">
        <v>174</v>
      </c>
      <c r="E2091" s="33" t="s">
        <v>166</v>
      </c>
      <c r="F2091" s="33" t="s">
        <v>163</v>
      </c>
    </row>
    <row r="2092" spans="1:6" ht="15" thickBot="1">
      <c r="A2092" s="31">
        <v>8289096</v>
      </c>
      <c r="B2092" s="32">
        <v>8300000</v>
      </c>
      <c r="C2092" s="33" t="s">
        <v>187</v>
      </c>
      <c r="D2092" s="33" t="s">
        <v>161</v>
      </c>
      <c r="E2092" s="33" t="s">
        <v>162</v>
      </c>
      <c r="F2092" s="33" t="s">
        <v>163</v>
      </c>
    </row>
    <row r="2093" spans="1:6" ht="15" thickBot="1">
      <c r="A2093" s="31">
        <v>8289219</v>
      </c>
      <c r="B2093" s="32">
        <v>18000000</v>
      </c>
      <c r="C2093" s="33" t="s">
        <v>187</v>
      </c>
      <c r="D2093" s="33" t="s">
        <v>161</v>
      </c>
      <c r="E2093" s="33" t="s">
        <v>162</v>
      </c>
      <c r="F2093" s="33" t="s">
        <v>163</v>
      </c>
    </row>
    <row r="2094" spans="1:6" ht="15" thickBot="1">
      <c r="A2094" s="31">
        <v>8289255</v>
      </c>
      <c r="B2094" s="32">
        <v>38000</v>
      </c>
      <c r="C2094" s="33" t="s">
        <v>196</v>
      </c>
      <c r="D2094" s="33" t="s">
        <v>161</v>
      </c>
      <c r="E2094" s="33" t="s">
        <v>162</v>
      </c>
      <c r="F2094" s="33" t="s">
        <v>167</v>
      </c>
    </row>
    <row r="2095" spans="1:6" ht="15" thickBot="1">
      <c r="A2095" s="31">
        <v>8289262</v>
      </c>
      <c r="B2095" s="32">
        <v>6000000</v>
      </c>
      <c r="C2095" s="33" t="s">
        <v>180</v>
      </c>
      <c r="D2095" s="33" t="s">
        <v>165</v>
      </c>
      <c r="E2095" s="33" t="s">
        <v>166</v>
      </c>
      <c r="F2095" s="33" t="s">
        <v>163</v>
      </c>
    </row>
    <row r="2096" spans="1:6" ht="15" thickBot="1">
      <c r="A2096" s="31">
        <v>8289337</v>
      </c>
      <c r="B2096" s="32">
        <v>5000000</v>
      </c>
      <c r="C2096" s="33" t="s">
        <v>548</v>
      </c>
      <c r="D2096" s="33" t="s">
        <v>169</v>
      </c>
      <c r="E2096" s="34" t="s">
        <v>170</v>
      </c>
      <c r="F2096" s="33" t="s">
        <v>163</v>
      </c>
    </row>
    <row r="2097" spans="1:6" ht="15" thickBot="1">
      <c r="A2097" s="31">
        <v>8289436</v>
      </c>
      <c r="B2097" s="32">
        <v>30000000</v>
      </c>
      <c r="C2097" s="33" t="s">
        <v>279</v>
      </c>
      <c r="D2097" s="33" t="s">
        <v>161</v>
      </c>
      <c r="E2097" s="33" t="s">
        <v>162</v>
      </c>
      <c r="F2097" s="33" t="s">
        <v>163</v>
      </c>
    </row>
    <row r="2098" spans="1:6" ht="15" thickBot="1">
      <c r="A2098" s="31">
        <v>8289477</v>
      </c>
      <c r="B2098" s="32">
        <v>9500000</v>
      </c>
      <c r="C2098" s="33" t="s">
        <v>196</v>
      </c>
      <c r="D2098" s="33" t="s">
        <v>161</v>
      </c>
      <c r="E2098" s="33" t="s">
        <v>162</v>
      </c>
      <c r="F2098" s="33" t="s">
        <v>163</v>
      </c>
    </row>
    <row r="2099" spans="1:6" ht="15" thickBot="1">
      <c r="A2099" s="31">
        <v>8289601</v>
      </c>
      <c r="B2099" s="32">
        <v>9000000</v>
      </c>
      <c r="C2099" s="33" t="s">
        <v>271</v>
      </c>
      <c r="D2099" s="33" t="s">
        <v>169</v>
      </c>
      <c r="E2099" s="34" t="s">
        <v>170</v>
      </c>
      <c r="F2099" s="33" t="s">
        <v>163</v>
      </c>
    </row>
    <row r="2100" spans="1:6" ht="15" thickBot="1">
      <c r="A2100" s="31">
        <v>8289661</v>
      </c>
      <c r="B2100" s="32">
        <v>29500000</v>
      </c>
      <c r="C2100" s="33" t="s">
        <v>351</v>
      </c>
      <c r="D2100" s="33" t="s">
        <v>165</v>
      </c>
      <c r="E2100" s="33" t="s">
        <v>166</v>
      </c>
      <c r="F2100" s="33" t="s">
        <v>163</v>
      </c>
    </row>
    <row r="2101" spans="1:6" ht="15" thickBot="1">
      <c r="A2101" s="31">
        <v>8289706</v>
      </c>
      <c r="B2101" s="32">
        <v>60000</v>
      </c>
      <c r="C2101" s="33" t="s">
        <v>183</v>
      </c>
      <c r="D2101" s="33" t="s">
        <v>169</v>
      </c>
      <c r="E2101" s="34" t="s">
        <v>170</v>
      </c>
      <c r="F2101" s="33" t="s">
        <v>167</v>
      </c>
    </row>
    <row r="2102" spans="1:6" ht="15" thickBot="1">
      <c r="A2102" s="31">
        <v>8289744</v>
      </c>
      <c r="B2102" s="32">
        <v>30000</v>
      </c>
      <c r="C2102" s="33" t="s">
        <v>183</v>
      </c>
      <c r="D2102" s="33" t="s">
        <v>169</v>
      </c>
      <c r="E2102" s="34" t="s">
        <v>170</v>
      </c>
      <c r="F2102" s="33" t="s">
        <v>167</v>
      </c>
    </row>
    <row r="2103" spans="1:6" ht="15" thickBot="1">
      <c r="A2103" s="31">
        <v>8289801</v>
      </c>
      <c r="B2103" s="32">
        <v>60000</v>
      </c>
      <c r="C2103" s="33" t="s">
        <v>323</v>
      </c>
      <c r="D2103" s="33" t="s">
        <v>161</v>
      </c>
      <c r="E2103" s="33" t="s">
        <v>162</v>
      </c>
      <c r="F2103" s="33" t="s">
        <v>167</v>
      </c>
    </row>
    <row r="2104" spans="1:6" ht="15" thickBot="1">
      <c r="A2104" s="31">
        <v>8289931</v>
      </c>
      <c r="B2104" s="32">
        <v>11000</v>
      </c>
      <c r="C2104" s="33" t="s">
        <v>205</v>
      </c>
      <c r="D2104" s="33" t="s">
        <v>161</v>
      </c>
      <c r="E2104" s="33" t="s">
        <v>162</v>
      </c>
      <c r="F2104" s="33" t="s">
        <v>167</v>
      </c>
    </row>
    <row r="2105" spans="1:6" ht="15" thickBot="1">
      <c r="A2105" s="31">
        <v>8289932</v>
      </c>
      <c r="B2105" s="32">
        <v>55000</v>
      </c>
      <c r="C2105" s="33" t="s">
        <v>325</v>
      </c>
      <c r="D2105" s="33" t="s">
        <v>169</v>
      </c>
      <c r="E2105" s="34" t="s">
        <v>170</v>
      </c>
      <c r="F2105" s="33" t="s">
        <v>167</v>
      </c>
    </row>
    <row r="2106" spans="1:6" ht="15" thickBot="1">
      <c r="A2106" s="31">
        <v>8290297</v>
      </c>
      <c r="B2106" s="32">
        <v>55000</v>
      </c>
      <c r="C2106" s="33" t="s">
        <v>171</v>
      </c>
      <c r="D2106" s="33" t="s">
        <v>161</v>
      </c>
      <c r="E2106" s="33" t="s">
        <v>162</v>
      </c>
      <c r="F2106" s="33" t="s">
        <v>167</v>
      </c>
    </row>
    <row r="2107" spans="1:6" ht="15" thickBot="1">
      <c r="A2107" s="31">
        <v>8290430</v>
      </c>
      <c r="B2107" s="32">
        <v>12000000</v>
      </c>
      <c r="C2107" s="33" t="s">
        <v>196</v>
      </c>
      <c r="D2107" s="33" t="s">
        <v>161</v>
      </c>
      <c r="E2107" s="33" t="s">
        <v>162</v>
      </c>
      <c r="F2107" s="33" t="s">
        <v>163</v>
      </c>
    </row>
    <row r="2108" spans="1:6" ht="15" thickBot="1">
      <c r="A2108" s="31">
        <v>8290445</v>
      </c>
      <c r="B2108" s="32">
        <v>4200000</v>
      </c>
      <c r="C2108" s="33" t="s">
        <v>205</v>
      </c>
      <c r="D2108" s="33" t="s">
        <v>161</v>
      </c>
      <c r="E2108" s="33" t="s">
        <v>162</v>
      </c>
      <c r="F2108" s="33" t="s">
        <v>163</v>
      </c>
    </row>
    <row r="2109" spans="1:6" ht="15" thickBot="1">
      <c r="A2109" s="31">
        <v>8290447</v>
      </c>
      <c r="B2109" s="32">
        <v>8000000</v>
      </c>
      <c r="C2109" s="33" t="s">
        <v>352</v>
      </c>
      <c r="D2109" s="33" t="s">
        <v>174</v>
      </c>
      <c r="E2109" s="33" t="s">
        <v>166</v>
      </c>
      <c r="F2109" s="33" t="s">
        <v>163</v>
      </c>
    </row>
    <row r="2110" spans="1:6" ht="15" thickBot="1">
      <c r="A2110" s="31">
        <v>8290456</v>
      </c>
      <c r="B2110" s="32">
        <v>62500000</v>
      </c>
      <c r="C2110" s="33" t="s">
        <v>181</v>
      </c>
      <c r="D2110" s="33" t="s">
        <v>174</v>
      </c>
      <c r="E2110" s="33" t="s">
        <v>166</v>
      </c>
      <c r="F2110" s="33" t="s">
        <v>163</v>
      </c>
    </row>
    <row r="2111" spans="1:6" ht="15" thickBot="1">
      <c r="A2111" s="31">
        <v>8290457</v>
      </c>
      <c r="B2111" s="32">
        <v>3200000</v>
      </c>
      <c r="C2111" s="33" t="s">
        <v>235</v>
      </c>
      <c r="D2111" s="33" t="s">
        <v>161</v>
      </c>
      <c r="E2111" s="33" t="s">
        <v>162</v>
      </c>
      <c r="F2111" s="33" t="s">
        <v>163</v>
      </c>
    </row>
    <row r="2112" spans="1:6" ht="15" thickBot="1">
      <c r="A2112" s="31">
        <v>8290458</v>
      </c>
      <c r="B2112" s="32">
        <v>22000000</v>
      </c>
      <c r="C2112" s="33" t="s">
        <v>160</v>
      </c>
      <c r="D2112" s="33" t="s">
        <v>161</v>
      </c>
      <c r="E2112" s="33" t="s">
        <v>162</v>
      </c>
      <c r="F2112" s="33" t="s">
        <v>163</v>
      </c>
    </row>
    <row r="2113" spans="1:6" ht="15" thickBot="1">
      <c r="A2113" s="31">
        <v>8290472</v>
      </c>
      <c r="B2113" s="32">
        <v>45000</v>
      </c>
      <c r="C2113" s="33" t="s">
        <v>196</v>
      </c>
      <c r="D2113" s="33" t="s">
        <v>161</v>
      </c>
      <c r="E2113" s="33" t="s">
        <v>162</v>
      </c>
      <c r="F2113" s="33" t="s">
        <v>167</v>
      </c>
    </row>
    <row r="2114" spans="1:6" ht="15" thickBot="1">
      <c r="A2114" s="31">
        <v>8290530</v>
      </c>
      <c r="B2114" s="32">
        <v>110000000</v>
      </c>
      <c r="C2114" s="33" t="s">
        <v>222</v>
      </c>
      <c r="D2114" s="33" t="s">
        <v>174</v>
      </c>
      <c r="E2114" s="33" t="s">
        <v>166</v>
      </c>
      <c r="F2114" s="33" t="s">
        <v>163</v>
      </c>
    </row>
    <row r="2115" spans="1:6" ht="15" thickBot="1">
      <c r="A2115" s="31">
        <v>8291555</v>
      </c>
      <c r="B2115" s="32">
        <v>10000</v>
      </c>
      <c r="C2115" s="33" t="s">
        <v>549</v>
      </c>
      <c r="D2115" s="33" t="s">
        <v>161</v>
      </c>
      <c r="E2115" s="33" t="s">
        <v>162</v>
      </c>
      <c r="F2115" s="33" t="s">
        <v>167</v>
      </c>
    </row>
    <row r="2116" spans="1:6" ht="15" thickBot="1">
      <c r="A2116" s="31">
        <v>8292572</v>
      </c>
      <c r="B2116" s="32">
        <v>24000</v>
      </c>
      <c r="C2116" s="33" t="s">
        <v>175</v>
      </c>
      <c r="D2116" s="33" t="s">
        <v>169</v>
      </c>
      <c r="E2116" s="34" t="s">
        <v>170</v>
      </c>
      <c r="F2116" s="33" t="s">
        <v>167</v>
      </c>
    </row>
    <row r="2117" spans="1:6" ht="15" thickBot="1">
      <c r="A2117" s="31">
        <v>8292814</v>
      </c>
      <c r="B2117" s="32">
        <v>11000</v>
      </c>
      <c r="C2117" s="33" t="s">
        <v>175</v>
      </c>
      <c r="D2117" s="33" t="s">
        <v>169</v>
      </c>
      <c r="E2117" s="34" t="s">
        <v>170</v>
      </c>
      <c r="F2117" s="33" t="s">
        <v>167</v>
      </c>
    </row>
    <row r="2118" spans="1:6" ht="15" thickBot="1">
      <c r="A2118" s="31">
        <v>8292999</v>
      </c>
      <c r="B2118" s="32">
        <v>49000</v>
      </c>
      <c r="C2118" s="33" t="s">
        <v>175</v>
      </c>
      <c r="D2118" s="33" t="s">
        <v>169</v>
      </c>
      <c r="E2118" s="34" t="s">
        <v>170</v>
      </c>
      <c r="F2118" s="33" t="s">
        <v>167</v>
      </c>
    </row>
    <row r="2119" spans="1:6" ht="15" thickBot="1">
      <c r="A2119" s="31">
        <v>8293337</v>
      </c>
      <c r="B2119" s="32">
        <v>45000</v>
      </c>
      <c r="C2119" s="33" t="s">
        <v>175</v>
      </c>
      <c r="D2119" s="33" t="s">
        <v>169</v>
      </c>
      <c r="E2119" s="34" t="s">
        <v>170</v>
      </c>
      <c r="F2119" s="33" t="s">
        <v>167</v>
      </c>
    </row>
    <row r="2120" spans="1:6" ht="15" thickBot="1">
      <c r="A2120" s="31">
        <v>8293514</v>
      </c>
      <c r="B2120" s="32">
        <v>6000000</v>
      </c>
      <c r="C2120" s="33" t="s">
        <v>550</v>
      </c>
      <c r="D2120" s="33" t="s">
        <v>161</v>
      </c>
      <c r="E2120" s="33" t="s">
        <v>162</v>
      </c>
      <c r="F2120" s="33" t="s">
        <v>163</v>
      </c>
    </row>
    <row r="2121" spans="1:6" ht="15" thickBot="1">
      <c r="A2121" s="31">
        <v>8293866</v>
      </c>
      <c r="B2121" s="32">
        <v>2900000</v>
      </c>
      <c r="C2121" s="33" t="s">
        <v>235</v>
      </c>
      <c r="D2121" s="33" t="s">
        <v>161</v>
      </c>
      <c r="E2121" s="33" t="s">
        <v>162</v>
      </c>
      <c r="F2121" s="33" t="s">
        <v>163</v>
      </c>
    </row>
    <row r="2122" spans="1:6" ht="15" thickBot="1">
      <c r="A2122" s="31">
        <v>8294226</v>
      </c>
      <c r="B2122" s="32">
        <v>3250000</v>
      </c>
      <c r="C2122" s="33" t="s">
        <v>235</v>
      </c>
      <c r="D2122" s="33" t="s">
        <v>161</v>
      </c>
      <c r="E2122" s="33" t="s">
        <v>162</v>
      </c>
      <c r="F2122" s="33" t="s">
        <v>163</v>
      </c>
    </row>
    <row r="2123" spans="1:6" ht="15" thickBot="1">
      <c r="A2123" s="31">
        <v>8294431</v>
      </c>
      <c r="B2123" s="32">
        <v>15500000</v>
      </c>
      <c r="C2123" s="33" t="s">
        <v>175</v>
      </c>
      <c r="D2123" s="33" t="s">
        <v>169</v>
      </c>
      <c r="E2123" s="34" t="s">
        <v>170</v>
      </c>
      <c r="F2123" s="33" t="s">
        <v>163</v>
      </c>
    </row>
    <row r="2124" spans="1:6" ht="15" thickBot="1">
      <c r="A2124" s="31">
        <v>8294495</v>
      </c>
      <c r="B2124" s="32">
        <v>23000</v>
      </c>
      <c r="C2124" s="33" t="s">
        <v>175</v>
      </c>
      <c r="D2124" s="33" t="s">
        <v>169</v>
      </c>
      <c r="E2124" s="34" t="s">
        <v>170</v>
      </c>
      <c r="F2124" s="33" t="s">
        <v>167</v>
      </c>
    </row>
    <row r="2125" spans="1:6" ht="15" thickBot="1">
      <c r="A2125" s="31">
        <v>8294647</v>
      </c>
      <c r="B2125" s="32">
        <v>11000</v>
      </c>
      <c r="C2125" s="33" t="s">
        <v>175</v>
      </c>
      <c r="D2125" s="33" t="s">
        <v>169</v>
      </c>
      <c r="E2125" s="34" t="s">
        <v>170</v>
      </c>
      <c r="F2125" s="33" t="s">
        <v>167</v>
      </c>
    </row>
    <row r="2126" spans="1:6" ht="15" thickBot="1">
      <c r="A2126" s="31">
        <v>8294780</v>
      </c>
      <c r="B2126" s="32">
        <v>17000000</v>
      </c>
      <c r="C2126" s="33" t="s">
        <v>175</v>
      </c>
      <c r="D2126" s="33" t="s">
        <v>169</v>
      </c>
      <c r="E2126" s="34" t="s">
        <v>170</v>
      </c>
      <c r="F2126" s="33" t="s">
        <v>163</v>
      </c>
    </row>
    <row r="2127" spans="1:6" ht="15" thickBot="1">
      <c r="A2127" s="31">
        <v>8295145</v>
      </c>
      <c r="B2127" s="32">
        <v>23000</v>
      </c>
      <c r="C2127" s="33" t="s">
        <v>175</v>
      </c>
      <c r="D2127" s="33" t="s">
        <v>169</v>
      </c>
      <c r="E2127" s="34" t="s">
        <v>170</v>
      </c>
      <c r="F2127" s="33" t="s">
        <v>167</v>
      </c>
    </row>
    <row r="2128" spans="1:6" ht="15" thickBot="1">
      <c r="A2128" s="31">
        <v>8295939</v>
      </c>
      <c r="B2128" s="32">
        <v>25000</v>
      </c>
      <c r="C2128" s="33" t="s">
        <v>171</v>
      </c>
      <c r="D2128" s="33" t="s">
        <v>161</v>
      </c>
      <c r="E2128" s="33" t="s">
        <v>162</v>
      </c>
      <c r="F2128" s="33" t="s">
        <v>167</v>
      </c>
    </row>
    <row r="2129" spans="1:6" ht="15" thickBot="1">
      <c r="A2129" s="31">
        <v>8297393</v>
      </c>
      <c r="B2129" s="32">
        <v>38000000</v>
      </c>
      <c r="C2129" s="33" t="s">
        <v>187</v>
      </c>
      <c r="D2129" s="33" t="s">
        <v>161</v>
      </c>
      <c r="E2129" s="33" t="s">
        <v>162</v>
      </c>
      <c r="F2129" s="33" t="s">
        <v>163</v>
      </c>
    </row>
    <row r="2130" spans="1:6" ht="15" thickBot="1">
      <c r="A2130" s="31">
        <v>8297856</v>
      </c>
      <c r="B2130" s="32">
        <v>4350000</v>
      </c>
      <c r="C2130" s="33" t="s">
        <v>205</v>
      </c>
      <c r="D2130" s="33" t="s">
        <v>161</v>
      </c>
      <c r="E2130" s="33" t="s">
        <v>162</v>
      </c>
      <c r="F2130" s="33" t="s">
        <v>163</v>
      </c>
    </row>
    <row r="2131" spans="1:6" ht="15" thickBot="1">
      <c r="A2131" s="31">
        <v>8298084</v>
      </c>
      <c r="B2131" s="32">
        <v>65000</v>
      </c>
      <c r="C2131" s="33" t="s">
        <v>196</v>
      </c>
      <c r="D2131" s="33" t="s">
        <v>161</v>
      </c>
      <c r="E2131" s="33" t="s">
        <v>162</v>
      </c>
      <c r="F2131" s="33" t="s">
        <v>167</v>
      </c>
    </row>
    <row r="2132" spans="1:6" ht="15" thickBot="1">
      <c r="A2132" s="31">
        <v>8298179</v>
      </c>
      <c r="B2132" s="32">
        <v>100000</v>
      </c>
      <c r="C2132" s="33" t="s">
        <v>177</v>
      </c>
      <c r="D2132" s="33" t="s">
        <v>161</v>
      </c>
      <c r="E2132" s="33" t="s">
        <v>162</v>
      </c>
      <c r="F2132" s="33" t="s">
        <v>167</v>
      </c>
    </row>
    <row r="2133" spans="1:6" ht="15" thickBot="1">
      <c r="A2133" s="31">
        <v>8298334</v>
      </c>
      <c r="B2133" s="32">
        <v>15500000</v>
      </c>
      <c r="C2133" s="33" t="s">
        <v>551</v>
      </c>
      <c r="D2133" s="33" t="s">
        <v>169</v>
      </c>
      <c r="E2133" s="34" t="s">
        <v>170</v>
      </c>
      <c r="F2133" s="33" t="s">
        <v>163</v>
      </c>
    </row>
    <row r="2134" spans="1:6" ht="15" thickBot="1">
      <c r="A2134" s="31">
        <v>8298537</v>
      </c>
      <c r="B2134" s="32">
        <v>32500000</v>
      </c>
      <c r="C2134" s="33" t="s">
        <v>293</v>
      </c>
      <c r="D2134" s="33" t="s">
        <v>161</v>
      </c>
      <c r="E2134" s="33" t="s">
        <v>162</v>
      </c>
      <c r="F2134" s="33" t="s">
        <v>163</v>
      </c>
    </row>
    <row r="2135" spans="1:6" ht="15" thickBot="1">
      <c r="A2135" s="31">
        <v>8298817</v>
      </c>
      <c r="B2135" s="32">
        <v>8000000</v>
      </c>
      <c r="C2135" s="33" t="s">
        <v>532</v>
      </c>
      <c r="D2135" s="33" t="s">
        <v>200</v>
      </c>
      <c r="E2135" s="33" t="s">
        <v>166</v>
      </c>
      <c r="F2135" s="33" t="s">
        <v>163</v>
      </c>
    </row>
    <row r="2136" spans="1:6" ht="15" thickBot="1">
      <c r="A2136" s="31">
        <v>8299026</v>
      </c>
      <c r="B2136" s="32">
        <v>70000</v>
      </c>
      <c r="C2136" s="33" t="s">
        <v>218</v>
      </c>
      <c r="D2136" s="33" t="s">
        <v>161</v>
      </c>
      <c r="E2136" s="33" t="s">
        <v>162</v>
      </c>
      <c r="F2136" s="33" t="s">
        <v>167</v>
      </c>
    </row>
    <row r="2137" spans="1:6" ht="15" thickBot="1">
      <c r="A2137" s="31">
        <v>8299500</v>
      </c>
      <c r="B2137" s="32">
        <v>8000000</v>
      </c>
      <c r="C2137" s="33" t="s">
        <v>187</v>
      </c>
      <c r="D2137" s="33" t="s">
        <v>161</v>
      </c>
      <c r="E2137" s="33" t="s">
        <v>162</v>
      </c>
      <c r="F2137" s="33" t="s">
        <v>163</v>
      </c>
    </row>
    <row r="2138" spans="1:6" ht="15" thickBot="1">
      <c r="A2138" s="31">
        <v>8299761</v>
      </c>
      <c r="B2138" s="32">
        <v>35000000</v>
      </c>
      <c r="C2138" s="33" t="s">
        <v>206</v>
      </c>
      <c r="D2138" s="33" t="s">
        <v>174</v>
      </c>
      <c r="E2138" s="33" t="s">
        <v>166</v>
      </c>
      <c r="F2138" s="33" t="s">
        <v>163</v>
      </c>
    </row>
    <row r="2139" spans="1:6" ht="15" thickBot="1">
      <c r="A2139" s="31">
        <v>8299924</v>
      </c>
      <c r="B2139" s="32">
        <v>85000</v>
      </c>
      <c r="C2139" s="33" t="s">
        <v>177</v>
      </c>
      <c r="D2139" s="33" t="s">
        <v>169</v>
      </c>
      <c r="E2139" s="34" t="s">
        <v>170</v>
      </c>
      <c r="F2139" s="33" t="s">
        <v>167</v>
      </c>
    </row>
    <row r="2140" spans="1:6" ht="15" thickBot="1">
      <c r="A2140" s="31">
        <v>8300053</v>
      </c>
      <c r="B2140" s="32">
        <v>90000</v>
      </c>
      <c r="C2140" s="33" t="s">
        <v>177</v>
      </c>
      <c r="D2140" s="33" t="s">
        <v>169</v>
      </c>
      <c r="E2140" s="34" t="s">
        <v>170</v>
      </c>
      <c r="F2140" s="33" t="s">
        <v>167</v>
      </c>
    </row>
    <row r="2141" spans="1:6" ht="15" thickBot="1">
      <c r="A2141" s="31">
        <v>8300208</v>
      </c>
      <c r="B2141" s="32">
        <v>240000</v>
      </c>
      <c r="C2141" s="33" t="s">
        <v>172</v>
      </c>
      <c r="D2141" s="33" t="s">
        <v>169</v>
      </c>
      <c r="E2141" s="34" t="s">
        <v>170</v>
      </c>
      <c r="F2141" s="33" t="s">
        <v>167</v>
      </c>
    </row>
    <row r="2142" spans="1:6" ht="15" thickBot="1">
      <c r="A2142" s="31">
        <v>8300234</v>
      </c>
      <c r="B2142" s="32">
        <v>11000000</v>
      </c>
      <c r="C2142" s="33" t="s">
        <v>276</v>
      </c>
      <c r="D2142" s="33" t="s">
        <v>165</v>
      </c>
      <c r="E2142" s="33" t="s">
        <v>166</v>
      </c>
      <c r="F2142" s="33" t="s">
        <v>163</v>
      </c>
    </row>
    <row r="2143" spans="1:6" ht="15" thickBot="1">
      <c r="A2143" s="31">
        <v>8300482</v>
      </c>
      <c r="B2143" s="32">
        <v>5000000</v>
      </c>
      <c r="C2143" s="33" t="s">
        <v>211</v>
      </c>
      <c r="D2143" s="33" t="s">
        <v>161</v>
      </c>
      <c r="E2143" s="33" t="s">
        <v>162</v>
      </c>
      <c r="F2143" s="33" t="s">
        <v>163</v>
      </c>
    </row>
    <row r="2144" spans="1:6" ht="15" thickBot="1">
      <c r="A2144" s="31">
        <v>8300745</v>
      </c>
      <c r="B2144" s="32">
        <v>89000000</v>
      </c>
      <c r="C2144" s="33" t="s">
        <v>177</v>
      </c>
      <c r="D2144" s="33" t="s">
        <v>161</v>
      </c>
      <c r="E2144" s="33" t="s">
        <v>162</v>
      </c>
      <c r="F2144" s="33" t="s">
        <v>163</v>
      </c>
    </row>
    <row r="2145" spans="1:6" ht="15" thickBot="1">
      <c r="A2145" s="31">
        <v>8300751</v>
      </c>
      <c r="B2145" s="32">
        <v>14000000</v>
      </c>
      <c r="C2145" s="33" t="s">
        <v>552</v>
      </c>
      <c r="D2145" s="33" t="s">
        <v>169</v>
      </c>
      <c r="E2145" s="34" t="s">
        <v>170</v>
      </c>
      <c r="F2145" s="33" t="s">
        <v>163</v>
      </c>
    </row>
    <row r="2146" spans="1:6" ht="15" thickBot="1">
      <c r="A2146" s="31">
        <v>8301053</v>
      </c>
      <c r="B2146" s="32">
        <v>7000000</v>
      </c>
      <c r="C2146" s="33" t="s">
        <v>553</v>
      </c>
      <c r="D2146" s="33" t="s">
        <v>174</v>
      </c>
      <c r="E2146" s="33" t="s">
        <v>166</v>
      </c>
      <c r="F2146" s="33" t="s">
        <v>163</v>
      </c>
    </row>
    <row r="2147" spans="1:6" ht="15" thickBot="1">
      <c r="A2147" s="31">
        <v>8303500</v>
      </c>
      <c r="B2147" s="32">
        <v>65000</v>
      </c>
      <c r="C2147" s="33" t="s">
        <v>180</v>
      </c>
      <c r="D2147" s="33" t="s">
        <v>165</v>
      </c>
      <c r="E2147" s="33" t="s">
        <v>166</v>
      </c>
      <c r="F2147" s="33" t="s">
        <v>167</v>
      </c>
    </row>
    <row r="2148" spans="1:6" ht="15" thickBot="1">
      <c r="A2148" s="31">
        <v>8303541</v>
      </c>
      <c r="B2148" s="32">
        <v>35000</v>
      </c>
      <c r="C2148" s="33" t="s">
        <v>171</v>
      </c>
      <c r="D2148" s="33" t="s">
        <v>161</v>
      </c>
      <c r="E2148" s="33" t="s">
        <v>162</v>
      </c>
      <c r="F2148" s="33" t="s">
        <v>167</v>
      </c>
    </row>
    <row r="2149" spans="1:6" ht="15" thickBot="1">
      <c r="A2149" s="31">
        <v>8303598</v>
      </c>
      <c r="B2149" s="32">
        <v>12000000</v>
      </c>
      <c r="C2149" s="33" t="s">
        <v>164</v>
      </c>
      <c r="D2149" s="33" t="s">
        <v>165</v>
      </c>
      <c r="E2149" s="33" t="s">
        <v>166</v>
      </c>
      <c r="F2149" s="33" t="s">
        <v>163</v>
      </c>
    </row>
    <row r="2150" spans="1:6" ht="15" thickBot="1">
      <c r="A2150" s="31">
        <v>8303936</v>
      </c>
      <c r="B2150" s="32">
        <v>6700000</v>
      </c>
      <c r="C2150" s="33" t="s">
        <v>554</v>
      </c>
      <c r="D2150" s="33" t="s">
        <v>174</v>
      </c>
      <c r="E2150" s="33" t="s">
        <v>166</v>
      </c>
      <c r="F2150" s="33" t="s">
        <v>163</v>
      </c>
    </row>
    <row r="2151" spans="1:6" ht="15" thickBot="1">
      <c r="A2151" s="31">
        <v>8304575</v>
      </c>
      <c r="B2151" s="32">
        <v>10000000</v>
      </c>
      <c r="C2151" s="33" t="s">
        <v>555</v>
      </c>
      <c r="D2151" s="33" t="s">
        <v>174</v>
      </c>
      <c r="E2151" s="33" t="s">
        <v>166</v>
      </c>
      <c r="F2151" s="33" t="s">
        <v>163</v>
      </c>
    </row>
    <row r="2152" spans="1:6" ht="15" thickBot="1">
      <c r="A2152" s="31">
        <v>8304585</v>
      </c>
      <c r="B2152" s="32">
        <v>160000</v>
      </c>
      <c r="C2152" s="33" t="s">
        <v>274</v>
      </c>
      <c r="D2152" s="33" t="s">
        <v>169</v>
      </c>
      <c r="E2152" s="34" t="s">
        <v>170</v>
      </c>
      <c r="F2152" s="33" t="s">
        <v>167</v>
      </c>
    </row>
    <row r="2153" spans="1:6" ht="15" thickBot="1">
      <c r="A2153" s="31">
        <v>8304616</v>
      </c>
      <c r="B2153" s="32">
        <v>34000</v>
      </c>
      <c r="C2153" s="33" t="s">
        <v>279</v>
      </c>
      <c r="D2153" s="33" t="s">
        <v>161</v>
      </c>
      <c r="E2153" s="33" t="s">
        <v>162</v>
      </c>
      <c r="F2153" s="33" t="s">
        <v>167</v>
      </c>
    </row>
    <row r="2154" spans="1:6" ht="15" thickBot="1">
      <c r="A2154" s="31">
        <v>8304657</v>
      </c>
      <c r="B2154" s="32">
        <v>6800000</v>
      </c>
      <c r="C2154" s="33" t="s">
        <v>359</v>
      </c>
      <c r="D2154" s="33" t="s">
        <v>161</v>
      </c>
      <c r="E2154" s="33" t="s">
        <v>162</v>
      </c>
      <c r="F2154" s="33" t="s">
        <v>163</v>
      </c>
    </row>
    <row r="2155" spans="1:6" ht="15" thickBot="1">
      <c r="A2155" s="31">
        <v>8304743</v>
      </c>
      <c r="B2155" s="32">
        <v>125000</v>
      </c>
      <c r="C2155" s="33" t="s">
        <v>177</v>
      </c>
      <c r="D2155" s="33" t="s">
        <v>161</v>
      </c>
      <c r="E2155" s="33" t="s">
        <v>162</v>
      </c>
      <c r="F2155" s="33" t="s">
        <v>167</v>
      </c>
    </row>
    <row r="2156" spans="1:6" ht="15" thickBot="1">
      <c r="A2156" s="31">
        <v>8304783</v>
      </c>
      <c r="B2156" s="32">
        <v>17500000</v>
      </c>
      <c r="C2156" s="33" t="s">
        <v>196</v>
      </c>
      <c r="D2156" s="33" t="s">
        <v>161</v>
      </c>
      <c r="E2156" s="33" t="s">
        <v>162</v>
      </c>
      <c r="F2156" s="33" t="s">
        <v>163</v>
      </c>
    </row>
    <row r="2157" spans="1:6" ht="15" thickBot="1">
      <c r="A2157" s="31">
        <v>8304854</v>
      </c>
      <c r="B2157" s="32">
        <v>3800000</v>
      </c>
      <c r="C2157" s="33" t="s">
        <v>230</v>
      </c>
      <c r="D2157" s="33" t="s">
        <v>200</v>
      </c>
      <c r="E2157" s="33" t="s">
        <v>166</v>
      </c>
      <c r="F2157" s="33" t="s">
        <v>163</v>
      </c>
    </row>
    <row r="2158" spans="1:6" ht="15" thickBot="1">
      <c r="A2158" s="31">
        <v>8305156</v>
      </c>
      <c r="B2158" s="32">
        <v>20000</v>
      </c>
      <c r="C2158" s="33" t="s">
        <v>190</v>
      </c>
      <c r="D2158" s="33" t="s">
        <v>169</v>
      </c>
      <c r="E2158" s="34" t="s">
        <v>170</v>
      </c>
      <c r="F2158" s="33" t="s">
        <v>167</v>
      </c>
    </row>
    <row r="2159" spans="1:6" ht="15" thickBot="1">
      <c r="A2159" s="31">
        <v>8305182</v>
      </c>
      <c r="B2159" s="32">
        <v>6000000</v>
      </c>
      <c r="C2159" s="33" t="s">
        <v>246</v>
      </c>
      <c r="D2159" s="33" t="s">
        <v>165</v>
      </c>
      <c r="E2159" s="33" t="s">
        <v>166</v>
      </c>
      <c r="F2159" s="33" t="s">
        <v>163</v>
      </c>
    </row>
    <row r="2160" spans="1:6" ht="15" thickBot="1">
      <c r="A2160" s="31">
        <v>8305202</v>
      </c>
      <c r="B2160" s="32">
        <v>20000000</v>
      </c>
      <c r="C2160" s="33" t="s">
        <v>180</v>
      </c>
      <c r="D2160" s="33" t="s">
        <v>165</v>
      </c>
      <c r="E2160" s="33" t="s">
        <v>166</v>
      </c>
      <c r="F2160" s="33" t="s">
        <v>163</v>
      </c>
    </row>
    <row r="2161" spans="1:6" ht="15" thickBot="1">
      <c r="A2161" s="31">
        <v>8305205</v>
      </c>
      <c r="B2161" s="32">
        <v>130000</v>
      </c>
      <c r="C2161" s="33" t="s">
        <v>172</v>
      </c>
      <c r="D2161" s="33" t="s">
        <v>169</v>
      </c>
      <c r="E2161" s="34" t="s">
        <v>170</v>
      </c>
      <c r="F2161" s="33" t="s">
        <v>167</v>
      </c>
    </row>
  </sheetData>
  <pageMargins left="0.7" right="0.7" top="0.75" bottom="0.75" header="0.3" footer="0.3"/>
  <pageSetup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2026-09-07T08:04:59Z</cp:lastPrinted>
  <dcterms:created xsi:type="dcterms:W3CDTF">2026-09-01T04:46:53Z</dcterms:created>
  <dcterms:modified xsi:type="dcterms:W3CDTF">2026-09-07T08:05:39Z</dcterms:modified>
</cp:coreProperties>
</file>